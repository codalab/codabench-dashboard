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ransformed by Data.Page" sheetId="1" state="visible" r:id="rId2"/>
    <sheet name="Feuille2" sheetId="2" state="visible" r:id="rId3"/>
  </sheets>
  <definedNames>
    <definedName function="false" hidden="true" localSheetId="1" name="_xlnm._FilterDatabase" vbProcedure="false">Feuille2!$A$1:$AM$44</definedName>
    <definedName function="false" hidden="true" localSheetId="0" name="_xlnm._FilterDatabase" vbProcedure="false">'Transformed by Data.Page'!$A$1:$AF$544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<sst xmlns="http://schemas.openxmlformats.org/spreadsheetml/2006/main" count="6964" uniqueCount="2352">
  <si>
    <t xml:space="preserve">name</t>
  </si>
  <si>
    <t xml:space="preserve">url</t>
  </si>
  <si>
    <t xml:space="preserve">additional_urls</t>
  </si>
  <si>
    <t xml:space="preserve">type</t>
  </si>
  <si>
    <t xml:space="preserve">tags__001</t>
  </si>
  <si>
    <t xml:space="preserve">tags__002</t>
  </si>
  <si>
    <t xml:space="preserve">tags__003</t>
  </si>
  <si>
    <t xml:space="preserve">tags__004</t>
  </si>
  <si>
    <t xml:space="preserve">tags__005</t>
  </si>
  <si>
    <t xml:space="preserve">tags__006</t>
  </si>
  <si>
    <t xml:space="preserve">tags__007</t>
  </si>
  <si>
    <t xml:space="preserve">tags__008</t>
  </si>
  <si>
    <t xml:space="preserve">additional_urls__001</t>
  </si>
  <si>
    <t xml:space="preserve">additional_urls__002</t>
  </si>
  <si>
    <t xml:space="preserve">additional_urls__003</t>
  </si>
  <si>
    <t xml:space="preserve">additional_urls__004</t>
  </si>
  <si>
    <t xml:space="preserve">launched</t>
  </si>
  <si>
    <t xml:space="preserve">winner</t>
  </si>
  <si>
    <t xml:space="preserve">registration-deadline</t>
  </si>
  <si>
    <t xml:space="preserve">deadline</t>
  </si>
  <si>
    <t xml:space="preserve">end-date</t>
  </si>
  <si>
    <t xml:space="preserve">prize</t>
  </si>
  <si>
    <t xml:space="preserve">tracks</t>
  </si>
  <si>
    <t xml:space="preserve">platform</t>
  </si>
  <si>
    <t xml:space="preserve">sponsor</t>
  </si>
  <si>
    <t xml:space="preserve">restrictions__country</t>
  </si>
  <si>
    <t xml:space="preserve">restrictions__invite-only</t>
  </si>
  <si>
    <t xml:space="preserve">conference</t>
  </si>
  <si>
    <t xml:space="preserve">conference-year</t>
  </si>
  <si>
    <t xml:space="preserve">evaluation</t>
  </si>
  <si>
    <t xml:space="preserve">data-size</t>
  </si>
  <si>
    <t xml:space="preserve">note</t>
  </si>
  <si>
    <t xml:space="preserve">CPDC: Generate Commonsense Dialogue</t>
  </si>
  <si>
    <t xml:space="preserve">https://www.aicrowd.com/challenges/commonsense-persona-grounded-dialogue-challenge-2023/problems/task-1-commonsense-dialogue-response-generation?ref=mlcontests</t>
  </si>
  <si>
    <t xml:space="preserve">🔤 NLP</t>
  </si>
  <si>
    <t xml:space="preserve">supervised</t>
  </si>
  <si>
    <t xml:space="preserve">nlp</t>
  </si>
  <si>
    <t xml:space="preserve">generative</t>
  </si>
  <si>
    <t xml:space="preserve">measurable</t>
  </si>
  <si>
    <t xml:space="preserve">3 Nov 2023</t>
  </si>
  <si>
    <t xml:space="preserve">1 Dec 2023</t>
  </si>
  <si>
    <t xml:space="preserve">1 Mar 2024</t>
  </si>
  <si>
    <t xml:space="preserve">$25,000</t>
  </si>
  <si>
    <t xml:space="preserve">AIcrowd</t>
  </si>
  <si>
    <t xml:space="preserve">Sony, EPFL</t>
  </si>
  <si>
    <t xml:space="preserve">null</t>
  </si>
  <si>
    <t xml:space="preserve">CPDC: Link Knowledge to a Dialogue</t>
  </si>
  <si>
    <t xml:space="preserve">https://www.aicrowd.com/challenges/commonsense-persona-grounded-dialogue-challenge-2023/problems/task-2-commonsense-persona-knowledge-linking?ref=mlcontests</t>
  </si>
  <si>
    <t xml:space="preserve">$10,000</t>
  </si>
  <si>
    <t xml:space="preserve">Multi-Agent Dynamics &amp; Mixed-Motive Cooperation</t>
  </si>
  <si>
    <t xml:space="preserve">https://www.aicrowd.com/challenges/meltingpot-challenge-2023/?ref=mlcontests</t>
  </si>
  <si>
    <t xml:space="preserve">🤖 Reinforcement Learning</t>
  </si>
  <si>
    <t xml:space="preserve">rl</t>
  </si>
  <si>
    <t xml:space="preserve">multi-agent</t>
  </si>
  <si>
    <t xml:space="preserve">31 Aug 2023</t>
  </si>
  <si>
    <t xml:space="preserve">2 Jan 2024</t>
  </si>
  <si>
    <t xml:space="preserve">15 Nov 2023</t>
  </si>
  <si>
    <t xml:space="preserve">$10,0000</t>
  </si>
  <si>
    <t xml:space="preserve">MIT, Google DeepMind, Cooperative AI Foundation</t>
  </si>
  <si>
    <t xml:space="preserve">NeurIPS</t>
  </si>
  <si>
    <t xml:space="preserve">2023</t>
  </si>
  <si>
    <t xml:space="preserve">Predict Building Loads (CityLearn)</t>
  </si>
  <si>
    <t xml:space="preserve">https://www.aicrowd.com/challenges/neurips-2023-citylearn-challenge/problems/forecasting-track-citylearn-challenge?ref=mlcontests</t>
  </si>
  <si>
    <t xml:space="preserve">📈 Time Series Forecasting</t>
  </si>
  <si>
    <t xml:space="preserve">timeseries</t>
  </si>
  <si>
    <t xml:space="preserve">forecasting</t>
  </si>
  <si>
    <t xml:space="preserve">regression</t>
  </si>
  <si>
    <t xml:space="preserve">21 Aug 2023</t>
  </si>
  <si>
    <t xml:space="preserve">19 Sep 2023</t>
  </si>
  <si>
    <t xml:space="preserve">31 Oct 2023</t>
  </si>
  <si>
    <t xml:space="preserve">$2,500</t>
  </si>
  <si>
    <t xml:space="preserve">CCAI/MERL/Amazon</t>
  </si>
  <si>
    <t xml:space="preserve">Optimal Control of Energy and Heating Management (CityLearn)</t>
  </si>
  <si>
    <t xml:space="preserve">https://www.aicrowd.com/challenges/neurips-2023-citylearn-challenge/problems/control-track-citylearn-challenge?ref=mlcontests</t>
  </si>
  <si>
    <t xml:space="preserve">optimisation</t>
  </si>
  <si>
    <t xml:space="preserve">control</t>
  </si>
  <si>
    <t xml:space="preserve">Identify Mosquitoes in Images</t>
  </si>
  <si>
    <t xml:space="preserve">https://www.aicrowd.com/challenges/mosquitoalert-challenge-2023?ref=mlcontests</t>
  </si>
  <si>
    <t xml:space="preserve">📷 Computer Vision</t>
  </si>
  <si>
    <t xml:space="preserve">vision</t>
  </si>
  <si>
    <t xml:space="preserve">segmentation</t>
  </si>
  <si>
    <t xml:space="preserve">classification</t>
  </si>
  <si>
    <t xml:space="preserve">20 Jun 2023</t>
  </si>
  <si>
    <t xml:space="preserve">20 Aug 2023</t>
  </si>
  <si>
    <t xml:space="preserve">20 Oct 2023</t>
  </si>
  <si>
    <t xml:space="preserve">$7,500</t>
  </si>
  <si>
    <t xml:space="preserve">Mosquito Alert Team</t>
  </si>
  <si>
    <t xml:space="preserve">AMLD</t>
  </si>
  <si>
    <t xml:space="preserve">2024</t>
  </si>
  <si>
    <t xml:space="preserve">HackAPrompt: Trick Large Language Models</t>
  </si>
  <si>
    <t xml:space="preserve">https://www.aicrowd.com/challenges/hackaprompt-2023?ref=mlcontests</t>
  </si>
  <si>
    <t xml:space="preserve">llm</t>
  </si>
  <si>
    <t xml:space="preserve">safety</t>
  </si>
  <si>
    <t xml:space="preserve">security</t>
  </si>
  <si>
    <t xml:space="preserve">5 May 2023</t>
  </si>
  <si>
    <t xml:space="preserve">3 Jun 2023</t>
  </si>
  <si>
    <t xml:space="preserve">$16,500</t>
  </si>
  <si>
    <t xml:space="preserve">Various</t>
  </si>
  <si>
    <t xml:space="preserve">KDD Cup 2023: Next Product Recommendation</t>
  </si>
  <si>
    <t xml:space="preserve">https://www.aicrowd.com/challenges/amazon-kdd-cup-23-multilingual-recommendation-challenge/problems/task-1-next-product-recommendation?source=mlcontests</t>
  </si>
  <si>
    <t xml:space="preserve">business</t>
  </si>
  <si>
    <t xml:space="preserve">tabular</t>
  </si>
  <si>
    <t xml:space="preserve">15 Mar 2023</t>
  </si>
  <si>
    <t xml:space="preserve">14 Jun 2023</t>
  </si>
  <si>
    <t xml:space="preserve">$7,000</t>
  </si>
  <si>
    <t xml:space="preserve">Amazon</t>
  </si>
  <si>
    <t xml:space="preserve">0.83</t>
  </si>
  <si>
    <t xml:space="preserve">KDD Cup 2023: Next Product Recommendation (Underrepresented Languages)</t>
  </si>
  <si>
    <t xml:space="preserve">https://www.aicrowd.com/challenges/amazon-kdd-cup-23-multilingual-recommendation-challenge/problems/task-2-next-product-recommendation-for-underrepresented-languages?source=mlcontests</t>
  </si>
  <si>
    <t xml:space="preserve">KDD Cup 2023: Next Product Title Generation</t>
  </si>
  <si>
    <t xml:space="preserve">https://www.aicrowd.com/challenges/amazon-kdd-cup-23-multilingual-recommendation-challenge/problems/task-3-next-product-title-generation?source=mlcontests</t>
  </si>
  <si>
    <t xml:space="preserve">Visual Product Recognition Challenge</t>
  </si>
  <si>
    <t xml:space="preserve">https://www.aicrowd.com/challenges/visual-product-recognition-challenge-2023?ref=mlcontests</t>
  </si>
  <si>
    <t xml:space="preserve">search</t>
  </si>
  <si>
    <t xml:space="preserve">16 Jan 2023</t>
  </si>
  <si>
    <t xml:space="preserve">9 Mar 2023</t>
  </si>
  <si>
    <t xml:space="preserve">16 Mar 2023</t>
  </si>
  <si>
    <t xml:space="preserve">$15,000</t>
  </si>
  <si>
    <t xml:space="preserve">Drone Images: Semantic Segmentation</t>
  </si>
  <si>
    <t xml:space="preserve">https://www.aicrowd.com/challenges/scene-understanding-for-autonomous-drone-delivery-suadd-23/problems/semantic-segmentation</t>
  </si>
  <si>
    <t xml:space="preserve">22 Dec 2022</t>
  </si>
  <si>
    <t xml:space="preserve">28 Apr 2023</t>
  </si>
  <si>
    <t xml:space="preserve">$23,750</t>
  </si>
  <si>
    <t xml:space="preserve">Drone Images: Depth Perception</t>
  </si>
  <si>
    <t xml:space="preserve">https://www.aicrowd.com/challenges/scene-understanding-for-autonomous-drone-delivery-suadd-23/problems/mono-depth-perception</t>
  </si>
  <si>
    <t xml:space="preserve">Music Demixing</t>
  </si>
  <si>
    <t xml:space="preserve">https://www.aicrowd.com/challenges/sound-demixing-challenge-2023/problems/music-demixing-track-mdx-23</t>
  </si>
  <si>
    <t xml:space="preserve">🔊 Audio</t>
  </si>
  <si>
    <t xml:space="preserve">audio</t>
  </si>
  <si>
    <t xml:space="preserve">https://www.aicrowd.com/challenges/sound-demixing-challenge-2023</t>
  </si>
  <si>
    <t xml:space="preserve">8 Dec 2022</t>
  </si>
  <si>
    <t xml:space="preserve">23 Jan 2023</t>
  </si>
  <si>
    <t xml:space="preserve">6 Mar 2023</t>
  </si>
  <si>
    <t xml:space="preserve">$32,000</t>
  </si>
  <si>
    <t xml:space="preserve">Sony/Moises/Mitsubishi</t>
  </si>
  <si>
    <t xml:space="preserve">Cinematic Sound Demixing</t>
  </si>
  <si>
    <t xml:space="preserve">https://www.aicrowd.com/challenges/sound-demixing-challenge-2023/problems/cinematic-sound-demixing-track-cdx-23</t>
  </si>
  <si>
    <t xml:space="preserve">Neural MMO Challenge</t>
  </si>
  <si>
    <t xml:space="preserve">https://www.aicrowd.com/challenges/neurips-2022-the-neural-mmo-challenge</t>
  </si>
  <si>
    <t xml:space="preserve">30 Oct 2022</t>
  </si>
  <si>
    <t xml:space="preserve">$20,000</t>
  </si>
  <si>
    <t xml:space="preserve">MIT, Parametrix, THU_SIGS</t>
  </si>
  <si>
    <t xml:space="preserve">2022</t>
  </si>
  <si>
    <t xml:space="preserve">IGLU - Building Structures</t>
  </si>
  <si>
    <t xml:space="preserve">https://www.aicrowd.com/challenges/neurips-2022-iglu-challenge/problems/neurips-2022-iglu-challenge-rl-task</t>
  </si>
  <si>
    <t xml:space="preserve">https://www.iglu-contest.net/</t>
  </si>
  <si>
    <t xml:space="preserve">https://twitter.com/IgluContest</t>
  </si>
  <si>
    <t xml:space="preserve">1 Oct 2022</t>
  </si>
  <si>
    <t xml:space="preserve">Microsoft, Amazon, Google</t>
  </si>
  <si>
    <t xml:space="preserve">IGLU - Asking Clarifying Questions</t>
  </si>
  <si>
    <t xml:space="preserve">https://www.aicrowd.com/challenges/neurips-2022-iglu-challenge/problems/neurips-2022-iglu-challenge-nlp-task</t>
  </si>
  <si>
    <t xml:space="preserve">MineRL BASALT Competition</t>
  </si>
  <si>
    <t xml:space="preserve">https://aicrowd.com/challenges/neurips-2022-minerl-basalt-competition?utm_source=mlc&amp;utm_medium=post&amp;utm_campaign=basalt</t>
  </si>
  <si>
    <t xml:space="preserve">game</t>
  </si>
  <si>
    <t xml:space="preserve">28 Oct 2022</t>
  </si>
  <si>
    <t xml:space="preserve">$120,000</t>
  </si>
  <si>
    <t xml:space="preserve">MineRL Labs</t>
  </si>
  <si>
    <t xml:space="preserve">CityLearn Challenge</t>
  </si>
  <si>
    <t xml:space="preserve">https://aicrowd.com/challenges/neurips-2022-citylearn-challenge?utm_source=mlc&amp;utm_medium=post&amp;utm_campaign=citylearn</t>
  </si>
  <si>
    <t xml:space="preserve">31 Oct 2022</t>
  </si>
  <si>
    <t xml:space="preserve">EPRI / SIGEnergy / Amazon</t>
  </si>
  <si>
    <t xml:space="preserve">City-scale 3D Localisation</t>
  </si>
  <si>
    <t xml:space="preserve">https://www.aicrowd.com/challenges/icra2022-general-place-recognition-city-scale-ugv-localization</t>
  </si>
  <si>
    <t xml:space="preserve">1 Sep 2022</t>
  </si>
  <si>
    <t xml:space="preserve">$5,000</t>
  </si>
  <si>
    <t xml:space="preserve">Microsoft / Intel / AirLab</t>
  </si>
  <si>
    <t xml:space="preserve">ICRA</t>
  </si>
  <si>
    <t xml:space="preserve">Visual Terrain Relative Navigation</t>
  </si>
  <si>
    <t xml:space="preserve">https://www.aicrowd.com/challenges/icra2022-general-place-recognition-visual-terrain-relative-navigation?utm_source=mlc&amp;utm_medium=post</t>
  </si>
  <si>
    <t xml:space="preserve">HTREC 2022 - Improving the HTR output of Greek papyri and Byzantine manuscripts</t>
  </si>
  <si>
    <t xml:space="preserve">https://www.aicrowd.com/challenges/htrec-2022?utm_source=mlc&amp;utm_medium=post&amp;utm_campaign=htrec</t>
  </si>
  <si>
    <t xml:space="preserve">8 Jun 2022</t>
  </si>
  <si>
    <t xml:space="preserve">$0</t>
  </si>
  <si>
    <t xml:space="preserve">Ca' Foscari University of Venice, Italy</t>
  </si>
  <si>
    <t xml:space="preserve">IJCAI 2022 Neural MMO Challenge</t>
  </si>
  <si>
    <t xml:space="preserve">https://www.aicrowd.com/challenges/ijcai-2022-the-neural-mmo-challenge?utm_source=mlc&amp;utm_medium=post&amp;utm_campaign=neural-mmo-22</t>
  </si>
  <si>
    <t xml:space="preserve">15 Jul 2022</t>
  </si>
  <si>
    <t xml:space="preserve">Parametrix AI, MIT, Tsinghua SIGS</t>
  </si>
  <si>
    <t xml:space="preserve">IJCAI</t>
  </si>
  <si>
    <t xml:space="preserve">Amazon KDD Cup 2022: Query Product Ranking</t>
  </si>
  <si>
    <t xml:space="preserve">https://www.aicrowd.com/challenges/esci-challenge-for-improving-product-search?source=mlcontests</t>
  </si>
  <si>
    <t xml:space="preserve">ranking</t>
  </si>
  <si>
    <t xml:space="preserve">22 Mar 2021</t>
  </si>
  <si>
    <t xml:space="preserve">Amazon KDD Cup 2022: Multiclass Product Classification</t>
  </si>
  <si>
    <t xml:space="preserve">Amazon KDD Cup 2022: Product Substitute Identification</t>
  </si>
  <si>
    <t xml:space="preserve">Multi Agent Behaviour Challenge 2022</t>
  </si>
  <si>
    <t xml:space="preserve">https://www.aicrowd.com/challenges/multi-agent-behavior-challenge-2022?source=mlcontests</t>
  </si>
  <si>
    <t xml:space="preserve">🪰🐀 Representation Learning</t>
  </si>
  <si>
    <t xml:space="preserve">10 May 2022</t>
  </si>
  <si>
    <t xml:space="preserve">$12,000</t>
  </si>
  <si>
    <t xml:space="preserve">Google</t>
  </si>
  <si>
    <t xml:space="preserve">AI Blitz⚡Faces</t>
  </si>
  <si>
    <t xml:space="preserve">https://www.aicrowd.com/challenges/ai-blitz-xiii?utm_source=mlc&amp;utm_medium=post&amp;utm_campaign=blitz13</t>
  </si>
  <si>
    <t xml:space="preserve">multiple</t>
  </si>
  <si>
    <t xml:space="preserve">25 Feb 2022</t>
  </si>
  <si>
    <t xml:space="preserve">$400</t>
  </si>
  <si>
    <t xml:space="preserve">Data Purchasing Challenge 2022</t>
  </si>
  <si>
    <t xml:space="preserve">https://www.aicrowd.com/challenges/data-purchasing-challenge-2022?source=mlcontests</t>
  </si>
  <si>
    <t xml:space="preserve">7 Apr 2022</t>
  </si>
  <si>
    <t xml:space="preserve">ZEW</t>
  </si>
  <si>
    <t xml:space="preserve">AI Blitz⚡12</t>
  </si>
  <si>
    <t xml:space="preserve">https://www.aicrowd.com/challenges/ai-blitz-xii?utm_campaign=blitz12&amp;utm_medium=post&amp;utm_source=mlc</t>
  </si>
  <si>
    <t xml:space="preserve">🙊 Natural Language Processing</t>
  </si>
  <si>
    <t xml:space="preserve">13 Jan 2022</t>
  </si>
  <si>
    <t xml:space="preserve">Food Recognition Benchmark 2022</t>
  </si>
  <si>
    <t xml:space="preserve">https://www.aicrowd.com/challenges/food-recognition-benchmark-2022?utm_campaign=food22&amp;utm_medium=post&amp;utm_source=mlc</t>
  </si>
  <si>
    <t xml:space="preserve">🥣 Image Recognition</t>
  </si>
  <si>
    <t xml:space="preserve">1 May 2022</t>
  </si>
  <si>
    <t xml:space="preserve">$3,000</t>
  </si>
  <si>
    <t xml:space="preserve">Seerave Foundation</t>
  </si>
  <si>
    <t xml:space="preserve">Learn to Race - Autonomous Racing Virtual Challenge</t>
  </si>
  <si>
    <t xml:space="preserve">https://www.aicrowd.com/challenges/learn-to-race-autonomous-racing-virtual-challenge?utm_campaign=l2r&amp;utm_medium=post&amp;utm_source=mlc</t>
  </si>
  <si>
    <t xml:space="preserve">driving</t>
  </si>
  <si>
    <t xml:space="preserve">15 Feb 2022</t>
  </si>
  <si>
    <t xml:space="preserve">$4,000, 3 DeepRacer Cars, $50,000 Training Credit Pool </t>
  </si>
  <si>
    <t xml:space="preserve">CMU, Arrival, AWS</t>
  </si>
  <si>
    <t xml:space="preserve">NeurIPS 2021 DeepRacer Challenge</t>
  </si>
  <si>
    <t xml:space="preserve">https://www.aicrowd.com/challenges/neurips-2021-aws-deepracer-ai-driving-olympics-challenge?utm_source=mlc&amp;utm_medium=post&amp;utm_campaign=deepracer</t>
  </si>
  <si>
    <t xml:space="preserve">🔁 Reinforcement Learning, Sim2Real Transfer</t>
  </si>
  <si>
    <t xml:space="preserve">30 Nov 2021</t>
  </si>
  <si>
    <t xml:space="preserve">$10,000 AWS Credits, 3 DeepRacer Cars</t>
  </si>
  <si>
    <t xml:space="preserve">AWS</t>
  </si>
  <si>
    <t xml:space="preserve">2021</t>
  </si>
  <si>
    <t xml:space="preserve">AI Blitz⚡XI : Self-Driving Cars</t>
  </si>
  <si>
    <t xml:space="preserve">https://www.aicrowd.com/challenges/ai-blitz-xi?utm_source=mlc&amp;utm_medium=post&amp;utm_campaign=blitz11</t>
  </si>
  <si>
    <t xml:space="preserve">✅ Supervised Learning</t>
  </si>
  <si>
    <t xml:space="preserve">21 Sep 2021</t>
  </si>
  <si>
    <t xml:space="preserve">https://www.aicrowd.com/challenges/neurips-2021-minerl-basalt-competition?utm_source=mlc&amp;utm_medium=post&amp;utm_campaign=basalt </t>
  </si>
  <si>
    <t xml:space="preserve">🔁 Reinforcement Learning(👨‍🔧 Human in the loop)</t>
  </si>
  <si>
    <t xml:space="preserve">15 Oct 2021</t>
  </si>
  <si>
    <t xml:space="preserve">$11,000</t>
  </si>
  <si>
    <t xml:space="preserve">OpenAI, Google, Microsoft, Open Philanthropy</t>
  </si>
  <si>
    <t xml:space="preserve">Flatland 3: Multi-Agent RL on Trains</t>
  </si>
  <si>
    <t xml:space="preserve">https://www.aicrowd.com/challenges/flatland-3?utm_source=mlc&amp;utm_medium=post&amp;utm_campaign=flatland</t>
  </si>
  <si>
    <t xml:space="preserve">🔁 Reinforcement Learning</t>
  </si>
  <si>
    <t xml:space="preserve">31 Dec 2021</t>
  </si>
  <si>
    <t xml:space="preserve">$TBA</t>
  </si>
  <si>
    <t xml:space="preserve">SBB, SNCF, DB</t>
  </si>
  <si>
    <t xml:space="preserve">AI Blitz X ⚡</t>
  </si>
  <si>
    <t xml:space="preserve">https://www.aicrowd.com/challenges/ai-blitz-x?utm_source=mlc&amp;utm_medium=post&amp;utm_campaign=blitzx</t>
  </si>
  <si>
    <t xml:space="preserve">💪 Beginner Friendly Computer Vision Puzzles</t>
  </si>
  <si>
    <t xml:space="preserve">11 Aug 2021</t>
  </si>
  <si>
    <t xml:space="preserve">The Neural-MMO Challenge</t>
  </si>
  <si>
    <t xml:space="preserve">https://www.aicrowd.com/challenges/the-neural-mmo-challenge</t>
  </si>
  <si>
    <t xml:space="preserve">14 Dec 2021</t>
  </si>
  <si>
    <t xml:space="preserve">9 Co-Authorships</t>
  </si>
  <si>
    <t xml:space="preserve">MIT</t>
  </si>
  <si>
    <t xml:space="preserve">NeurIPS 2021 MineRL Diamond Competition</t>
  </si>
  <si>
    <t xml:space="preserve">https://www.aicrowd.com/challenges/neurips-2021-minerl-diamond-competition?utm_source=mlc&amp;utm_medium=post&amp;utm_campaign=minerl</t>
  </si>
  <si>
    <t xml:space="preserve">https://arxiv.org/abs/2112.04907</t>
  </si>
  <si>
    <t xml:space="preserve">CMU, Microsoft, DeepMind, OpenAI</t>
  </si>
  <si>
    <t xml:space="preserve">AI Blitz ⚡ Hello NLP</t>
  </si>
  <si>
    <t xml:space="preserve">https://www.aicrowd.com/challenges/ai-blitz-9?utm_source=mlc&amp;utm_medium=post&amp;utm_campaign=blitz9</t>
  </si>
  <si>
    <t xml:space="preserve">30 Jun 2021</t>
  </si>
  <si>
    <t xml:space="preserve">NeurIPS 2021 NetHack Challenge</t>
  </si>
  <si>
    <t xml:space="preserve">https://www.aicrowd.com/challenges/neurips-2021-the-nethack-challenge?utm_source=mlc&amp;utm_medium=post&amp;utm_campaign=nethack</t>
  </si>
  <si>
    <t xml:space="preserve">$TBD</t>
  </si>
  <si>
    <t xml:space="preserve">FACEBOOK AI</t>
  </si>
  <si>
    <t xml:space="preserve">ADDI Alzheimer's Detection Challenge</t>
  </si>
  <si>
    <t xml:space="preserve">https://www.aicrowd.com/challenges/addi-alzheimers-detection-challenge?utm_source=mlc&amp;utm_medium=post&amp;utm_campaign=addi</t>
  </si>
  <si>
    <t xml:space="preserve">8 Jun 2021</t>
  </si>
  <si>
    <t xml:space="preserve">$60,000</t>
  </si>
  <si>
    <t xml:space="preserve">ADDI</t>
  </si>
  <si>
    <t xml:space="preserve">AI Blitz 8: F1</t>
  </si>
  <si>
    <t xml:space="preserve">https://www.aicrowd.com/challenges/ai-blitz-8?utm_source=mlc&amp;utm_medium=post&amp;utm_campaign=blitz8</t>
  </si>
  <si>
    <t xml:space="preserve">23 May 2021</t>
  </si>
  <si>
    <t xml:space="preserve">Global Wheat Challenge</t>
  </si>
  <si>
    <t xml:space="preserve">https://www.aicrowd.com/challenges/global-wheat-challenge-2021?utm_source=mlc&amp;utm_medium=post&amp;utm_campaign=wheat</t>
  </si>
  <si>
    <t xml:space="preserve">4 Jul 2021</t>
  </si>
  <si>
    <t xml:space="preserve">$4,000</t>
  </si>
  <si>
    <t xml:space="preserve">University of Saskatchewan, University of Tokyo, CAPTE</t>
  </si>
  <si>
    <t xml:space="preserve">Music Demixing Challenge by Sony</t>
  </si>
  <si>
    <t xml:space="preserve">https://www.aicrowd.com/challenges/music-demixing-challenge-ismir-2021?utm_source=mlc&amp;utm_medium=post&amp;utm_campaign=sony</t>
  </si>
  <si>
    <t xml:space="preserve">🎧 Audio Source Separation</t>
  </si>
  <si>
    <t xml:space="preserve">31 Jul 2021</t>
  </si>
  <si>
    <t xml:space="preserve">Sony</t>
  </si>
  <si>
    <t xml:space="preserve">AI Blitz: Chess</t>
  </si>
  <si>
    <t xml:space="preserve">https://www.aicrowd.com/challenges/ai-blitz-6</t>
  </si>
  <si>
    <t xml:space="preserve">5 Mar 2021</t>
  </si>
  <si>
    <t xml:space="preserve">Airborne Object Tracking Challenge</t>
  </si>
  <si>
    <t xml:space="preserve">https://www.aicrowd.com/challenges/airborne-object-tracking-challenge?utm_source=mlc&amp;utm_medium=click&amp;utm_campaign=prime-air</t>
  </si>
  <si>
    <t xml:space="preserve">🚁 Object Tracking</t>
  </si>
  <si>
    <t xml:space="preserve">1 Sep 2021</t>
  </si>
  <si>
    <t xml:space="preserve">$50,000</t>
  </si>
  <si>
    <t xml:space="preserve">Amazon Prime Air</t>
  </si>
  <si>
    <t xml:space="preserve">Insurance Pricing Game</t>
  </si>
  <si>
    <t xml:space="preserve">https://www.aicrowd.com/challenges/insurance-pricing-game/?utm_source=mlcontests&amp;utm_medium=post&amp;utm_campaign=insurance</t>
  </si>
  <si>
    <t xml:space="preserve">07 Mar 2021</t>
  </si>
  <si>
    <t xml:space="preserve">Imperial College London, Actuary Societies</t>
  </si>
  <si>
    <t xml:space="preserve">AI Blitz ⚡ Perseverance</t>
  </si>
  <si>
    <t xml:space="preserve">https://www.aicrowd.com/challenges/ai-blitz-7/?utm_source=mlcontests&amp;utm_medium=post&amp;utm_campaign=blitz7</t>
  </si>
  <si>
    <t xml:space="preserve">02 Apr 2021</t>
  </si>
  <si>
    <t xml:space="preserve">Learning to Smell Challenge</t>
  </si>
  <si>
    <t xml:space="preserve">https://www.aicrowd.com/challenges/learning-to-smell?utm_source=mlcontests&amp;utm_medium=click&amp;utm_campaign=lts</t>
  </si>
  <si>
    <t xml:space="preserve">15 Dec 2020</t>
  </si>
  <si>
    <t xml:space="preserve">$6,500</t>
  </si>
  <si>
    <t xml:space="preserve">Firmenich</t>
  </si>
  <si>
    <t xml:space="preserve">Food Recognition Challenge</t>
  </si>
  <si>
    <t xml:space="preserve">https://www.aicrowd.com/challenges/food-recognition-challenge?utm_source=mlcontests&amp;utm_medium=click&amp;utm_campaign=food</t>
  </si>
  <si>
    <t xml:space="preserve">1 Dec 2020</t>
  </si>
  <si>
    <t xml:space="preserve">Applied Machine Learning Days</t>
  </si>
  <si>
    <t xml:space="preserve">AI For Good - AI Blitz #3</t>
  </si>
  <si>
    <t xml:space="preserve">https://www.aicrowd.com/challenges/ai-for-good-ai-blitz-3?utm_source=mlcontest&amp;utm_medium=post&amp;utm_campaign=blitz3</t>
  </si>
  <si>
    <t xml:space="preserve">11 Sep 2020</t>
  </si>
  <si>
    <t xml:space="preserve">$1100</t>
  </si>
  <si>
    <t xml:space="preserve">AI For Good - ITU</t>
  </si>
  <si>
    <t xml:space="preserve">AIcrowd Blitz #2</t>
  </si>
  <si>
    <t xml:space="preserve">https://www.aicrowd.com/challenges/aicrowd-blitz-2</t>
  </si>
  <si>
    <t xml:space="preserve">25 May 2020</t>
  </si>
  <si>
    <t xml:space="preserve">$185</t>
  </si>
  <si>
    <t xml:space="preserve">N/A (Educational)</t>
  </si>
  <si>
    <t xml:space="preserve">AIcrowd Blitz - May 2020</t>
  </si>
  <si>
    <t xml:space="preserve">https://www.aicrowd.com/challenges/aicrowd-blitz-may-2020</t>
  </si>
  <si>
    <t xml:space="preserve">16 May 2020</t>
  </si>
  <si>
    <t xml:space="preserve">https://www.aicrowd.com/challenges/food-recognition-challenge</t>
  </si>
  <si>
    <t xml:space="preserve">Visual Localisation and Mapping (CVPR)</t>
  </si>
  <si>
    <t xml:space="preserve">https://www.aicrowd.com/challenges/tartanair-visual-slam-mono-track</t>
  </si>
  <si>
    <t xml:space="preserve">15 Aug 2020</t>
  </si>
  <si>
    <t xml:space="preserve">IEEE</t>
  </si>
  <si>
    <t xml:space="preserve">Head and Neck Tumor Segmentation (MICCAI)</t>
  </si>
  <si>
    <t xml:space="preserve">https://www.aicrowd.com/challenges/miccai-2020-hecktor</t>
  </si>
  <si>
    <t xml:space="preserve">10 Sep 2020</t>
  </si>
  <si>
    <t xml:space="preserve">$500</t>
  </si>
  <si>
    <t xml:space="preserve">MICCAI</t>
  </si>
  <si>
    <t xml:space="preserve">Autonomous Vehicles Challenge (ECCV)</t>
  </si>
  <si>
    <t xml:space="preserve">https://www.aicrowd.com/challenges/eccv-2020-commands-4-autonomous-vehicles</t>
  </si>
  <si>
    <t xml:space="preserve">1 Aug 2020</t>
  </si>
  <si>
    <t xml:space="preserve">$2,250</t>
  </si>
  <si>
    <t xml:space="preserve">KU Leuven</t>
  </si>
  <si>
    <t xml:space="preserve">Aircraft Localisation</t>
  </si>
  <si>
    <t xml:space="preserve">https://www.aicrowd.com/challenges/cyd-campus-aircraft-localization-competition</t>
  </si>
  <si>
    <t xml:space="preserve">15 Sep 2020</t>
  </si>
  <si>
    <t xml:space="preserve">$30,000</t>
  </si>
  <si>
    <t xml:space="preserve">CYC/OpenSky</t>
  </si>
  <si>
    <t xml:space="preserve">MineRL (NeurIPS)</t>
  </si>
  <si>
    <t xml:space="preserve">https://www.aicrowd.com/challenges/neurips-2020-minerl-competition</t>
  </si>
  <si>
    <t xml:space="preserve">16 Sep 2020</t>
  </si>
  <si>
    <t xml:space="preserve">OpenAI/DeepMind/Microsoft/CMU/Preferred Networks</t>
  </si>
  <si>
    <t xml:space="preserve">2020</t>
  </si>
  <si>
    <t xml:space="preserve">Flatland - MARL on Trains (NeurIPS)</t>
  </si>
  <si>
    <t xml:space="preserve">https://www.aicrowd.com/challenges/neurips-2020-flatland-challenge</t>
  </si>
  <si>
    <t xml:space="preserve">SBB/DB</t>
  </si>
  <si>
    <t xml:space="preserve">Procgen - RL in Procedurally Generated Environments (NeurIPS)</t>
  </si>
  <si>
    <t xml:space="preserve">https://www.aicrowd.com/challenges/neurips-2020-procgen-competition</t>
  </si>
  <si>
    <t xml:space="preserve">19 Oct 2020</t>
  </si>
  <si>
    <t xml:space="preserve">OpenAI</t>
  </si>
  <si>
    <t xml:space="preserve">Seismic Facies Identification Challenge</t>
  </si>
  <si>
    <t xml:space="preserve">https://www.aicrowd.com/challenges/seismic-facies-identification-challenge?utm_source=mlcontests&amp;utm_medium=click&amp;utm_campaign=seismic-facies</t>
  </si>
  <si>
    <t xml:space="preserve">12 Oct 2020</t>
  </si>
  <si>
    <t xml:space="preserve">SEAM</t>
  </si>
  <si>
    <t xml:space="preserve">Hockey Player Localisation</t>
  </si>
  <si>
    <t xml:space="preserve">https://www.aicrowd.com/challenges/hockey-player-localization</t>
  </si>
  <si>
    <t xml:space="preserve">📈 Computer Vision</t>
  </si>
  <si>
    <t xml:space="preserve">5 Jan 2021</t>
  </si>
  <si>
    <t xml:space="preserve">Multi-Agent Behavior Challenge</t>
  </si>
  <si>
    <t xml:space="preserve">https://www.aicrowd.com/challenges/multi-agent-behavior-representation-modeling-measurement-and-applications</t>
  </si>
  <si>
    <t xml:space="preserve">30 Apr 2021</t>
  </si>
  <si>
    <t xml:space="preserve">$19,000</t>
  </si>
  <si>
    <t xml:space="preserve">Amazon/Northwestern</t>
  </si>
  <si>
    <t xml:space="preserve">Generative Interior Design Challenge</t>
  </si>
  <si>
    <t xml:space="preserve">https://www.aicrowd.com/challenges/generative-interior-design-challenge-2024?ref=mlcontests</t>
  </si>
  <si>
    <t xml:space="preserve">subjective</t>
  </si>
  <si>
    <t xml:space="preserve">30 Jan 2024</t>
  </si>
  <si>
    <t xml:space="preserve">1 Apr 2024</t>
  </si>
  <si>
    <t xml:space="preserve">MCS</t>
  </si>
  <si>
    <t xml:space="preserve">Visual Attention Estimation in HMD</t>
  </si>
  <si>
    <t xml:space="preserve">https://aidea-web.tw/topic/aa5451e1-8697-47ee-96f1-c51ccc3badcc?focus=intro</t>
  </si>
  <si>
    <t xml:space="preserve">30 Sep 2021</t>
  </si>
  <si>
    <t xml:space="preserve">$3,250</t>
  </si>
  <si>
    <t xml:space="preserve">AIDEA</t>
  </si>
  <si>
    <t xml:space="preserve">MediaTek</t>
  </si>
  <si>
    <t xml:space="preserve">HackLive 3: Guided Hackathon - NLP</t>
  </si>
  <si>
    <t xml:space="preserve">https://datahack.analyticsvidhya.com/contest/hacklive-3-guided-hackathon-text-classification/?utm_source=ml-contest&amp;utm_medium=post&amp;utm_campaign=hack-live-3</t>
  </si>
  <si>
    <t xml:space="preserve">25 Oct 2020</t>
  </si>
  <si>
    <t xml:space="preserve">Analytics Vidhya</t>
  </si>
  <si>
    <t xml:space="preserve">Privacy-Preserving Data Sharing for Pandemic Management</t>
  </si>
  <si>
    <t xml:space="preserve">https://www.antigranular.com/competitions/6512bb40e5a926ede026c129</t>
  </si>
  <si>
    <t xml:space="preserve">🕵 Privacy</t>
  </si>
  <si>
    <t xml:space="preserve">privacy</t>
  </si>
  <si>
    <t xml:space="preserve">1 Oct 2023</t>
  </si>
  <si>
    <t xml:space="preserve">30 Dec 2023</t>
  </si>
  <si>
    <t xml:space="preserve">$5,500</t>
  </si>
  <si>
    <t xml:space="preserve">Antigranular</t>
  </si>
  <si>
    <t xml:space="preserve">OpenDP</t>
  </si>
  <si>
    <t xml:space="preserve">Automated Speech Classification</t>
  </si>
  <si>
    <t xml:space="preserve">https://www.automl.ai/competitions/2</t>
  </si>
  <si>
    <t xml:space="preserve">⚙️ Auto ML</t>
  </si>
  <si>
    <t xml:space="preserve">20 Apr 2020</t>
  </si>
  <si>
    <t xml:space="preserve">AutoML.ai</t>
  </si>
  <si>
    <t xml:space="preserve">Google/4Paradigm/ChaLearn</t>
  </si>
  <si>
    <t xml:space="preserve">Automatic Graph Representation Learning</t>
  </si>
  <si>
    <t xml:space="preserve">https://www.automl.ai/competitions/3</t>
  </si>
  <si>
    <t xml:space="preserve">$33,500</t>
  </si>
  <si>
    <t xml:space="preserve">AWS DeepRacer Beginners Community Race</t>
  </si>
  <si>
    <t xml:space="preserve">https://blog.deepracing.io/2020/04/02/get-started-with-aws-deepracer-beginners-community-race-3-april-31-may-2020/</t>
  </si>
  <si>
    <t xml:space="preserve">31 May 2020</t>
  </si>
  <si>
    <t xml:space="preserve">$3,500</t>
  </si>
  <si>
    <t xml:space="preserve">Mobility-on-Demand: Dispatching and Repositioning</t>
  </si>
  <si>
    <t xml:space="preserve">https://biendata.com/competition/kdd_didi/</t>
  </si>
  <si>
    <t xml:space="preserve">17 Jul 2020</t>
  </si>
  <si>
    <t xml:space="preserve">BienData</t>
  </si>
  <si>
    <t xml:space="preserve">KDD/Didi</t>
  </si>
  <si>
    <t xml:space="preserve">KDD Cup 2020 - Adversarial Graph Learning</t>
  </si>
  <si>
    <t xml:space="preserve">https://biendata.com/competition/kddcup_2020/</t>
  </si>
  <si>
    <t xml:space="preserve">☋ Graph Learning</t>
  </si>
  <si>
    <t xml:space="preserve">1 Jul 2020</t>
  </si>
  <si>
    <t xml:space="preserve">KDD</t>
  </si>
  <si>
    <t xml:space="preserve">GigaVision: Pedestrian/Vehicle Detection</t>
  </si>
  <si>
    <t xml:space="preserve">https://biendata.com/competition/gigavision/</t>
  </si>
  <si>
    <t xml:space="preserve">Detect AI-generated Images</t>
  </si>
  <si>
    <t xml:space="preserve">https://bitgrit.net/competition/18?ref=mlcontests</t>
  </si>
  <si>
    <t xml:space="preserve">11 Apr 2023</t>
  </si>
  <si>
    <t xml:space="preserve">2 Jul 2023</t>
  </si>
  <si>
    <t xml:space="preserve">bitgrit</t>
  </si>
  <si>
    <t xml:space="preserve">NFT Price Prediction</t>
  </si>
  <si>
    <t xml:space="preserve">https://bitgrit.net/competition/17?utm_source=mlcontests&amp;utm_medium=organic&amp;utm_campaign=NFT</t>
  </si>
  <si>
    <t xml:space="preserve">19 Dec 2022</t>
  </si>
  <si>
    <t xml:space="preserve">19 Feb 2023</t>
  </si>
  <si>
    <t xml:space="preserve">GASHO 2.0</t>
  </si>
  <si>
    <t xml:space="preserve">Predict Video Popularity</t>
  </si>
  <si>
    <t xml:space="preserve">https://bitgrit.net/competition/11</t>
  </si>
  <si>
    <t xml:space="preserve">31 Mar 2021</t>
  </si>
  <si>
    <t xml:space="preserve">DataGateway</t>
  </si>
  <si>
    <t xml:space="preserve">Predict Which Tweets Go Viral</t>
  </si>
  <si>
    <t xml:space="preserve">https://bitgrit.net/competition/12?utm_source=mlcontests&amp;utm_medium=org&amp;utm_campaign=viral_tweets</t>
  </si>
  <si>
    <t xml:space="preserve">6 Jul 2021</t>
  </si>
  <si>
    <t xml:space="preserve">Find Biomedical Entities in Research Abstracts</t>
  </si>
  <si>
    <t xml:space="preserve">https://bitgrit.net/competition/13?utm_source=mlcontests&amp;utm_medium=organic&amp;utm_campaign=litcoin</t>
  </si>
  <si>
    <t xml:space="preserve">23 Dec 2021</t>
  </si>
  <si>
    <t xml:space="preserve">$100,000</t>
  </si>
  <si>
    <t xml:space="preserve">NASA/NCBI/NCATS/NIH</t>
  </si>
  <si>
    <t xml:space="preserve">Find the Best Black Box Optimiser for ML</t>
  </si>
  <si>
    <t xml:space="preserve">https://bbochallenge.com/</t>
  </si>
  <si>
    <t xml:space="preserve">📉 Optimisation</t>
  </si>
  <si>
    <t xml:space="preserve">15 Oct 2020</t>
  </si>
  <si>
    <t xml:space="preserve">blackbox</t>
  </si>
  <si>
    <t xml:space="preserve">Graph Neural Networking Challenge 2020</t>
  </si>
  <si>
    <t xml:space="preserve">https://bnn.upc.edu/challenge2020</t>
  </si>
  <si>
    <t xml:space="preserve">BNN</t>
  </si>
  <si>
    <t xml:space="preserve">ITU/Cisco</t>
  </si>
  <si>
    <t xml:space="preserve">GNN Challenge 2022 (ITU AI/ML in 5G)</t>
  </si>
  <si>
    <t xml:space="preserve">https://bnn.upc.edu/challenge/gnnet2022</t>
  </si>
  <si>
    <t xml:space="preserve">30 Sep 2022</t>
  </si>
  <si>
    <t xml:space="preserve">$1,000</t>
  </si>
  <si>
    <t xml:space="preserve">BNN-UPC</t>
  </si>
  <si>
    <t xml:space="preserve">ITU/ United Nations/ ZTE/ MSIT Korea</t>
  </si>
  <si>
    <t xml:space="preserve">Graph Neural Networking Challenge 2021</t>
  </si>
  <si>
    <t xml:space="preserve">https://bnn.upc.edu/challenge/gnnet2021</t>
  </si>
  <si>
    <t xml:space="preserve">14 Sep 2021</t>
  </si>
  <si>
    <t xml:space="preserve">ITU/United Nations/Xilinx</t>
  </si>
  <si>
    <t xml:space="preserve">COVID-19 Grand Challenge</t>
  </si>
  <si>
    <t xml:space="preserve">https://c3.ai/c3-ai-covid-19-grand-challenge/</t>
  </si>
  <si>
    <t xml:space="preserve">📊 Analysis/Visualisation </t>
  </si>
  <si>
    <t xml:space="preserve">18 Nov 2020</t>
  </si>
  <si>
    <t xml:space="preserve">$200,000</t>
  </si>
  <si>
    <t xml:space="preserve">C3.ai</t>
  </si>
  <si>
    <t xml:space="preserve">Learn to Run a Power Network (NeurIPS)</t>
  </si>
  <si>
    <t xml:space="preserve">https://l2rpn.chalearn.org/competitions/</t>
  </si>
  <si>
    <t xml:space="preserve">30 Oct 2020</t>
  </si>
  <si>
    <t xml:space="preserve">ChaLearn/CodaLab</t>
  </si>
  <si>
    <t xml:space="preserve">Detect Trojans in LLMs (Base Model)</t>
  </si>
  <si>
    <t xml:space="preserve">https://codalab.lisn.upsaclay.fr/competitions/14656?ref=mlcontests</t>
  </si>
  <si>
    <t xml:space="preserve">🕵 Security</t>
  </si>
  <si>
    <t xml:space="preserve">https://neurips.cc/Conferences/2023/CompetitionTrack</t>
  </si>
  <si>
    <t xml:space="preserve">https://trojandetection.ai</t>
  </si>
  <si>
    <t xml:space="preserve">25 Jul 2023</t>
  </si>
  <si>
    <t xml:space="preserve">24 Oct 2023</t>
  </si>
  <si>
    <t xml:space="preserve">$4,500</t>
  </si>
  <si>
    <t xml:space="preserve">CodaLab</t>
  </si>
  <si>
    <t xml:space="preserve">Detect Trojans in LLMs (Large Model)</t>
  </si>
  <si>
    <t xml:space="preserve">https://codalab.lisn.upsaclay.fr/competitions/14653?ref=mlcontests</t>
  </si>
  <si>
    <t xml:space="preserve">Elicit Undesirable Behaviours from LLMs (Base Models)</t>
  </si>
  <si>
    <t xml:space="preserve">$8,500</t>
  </si>
  <si>
    <t xml:space="preserve">Elicit Undesirable Behaviours from LLMs (Large Models)</t>
  </si>
  <si>
    <t xml:space="preserve">https://codalab.lisn.upsaclay.fr/competitions/14657?ref=mlcontests</t>
  </si>
  <si>
    <t xml:space="preserve">Sensorium Visual Cortex Prediction</t>
  </si>
  <si>
    <t xml:space="preserve">https://codalab.sensorium-competition.net/competitions/9?ref=mlcontests</t>
  </si>
  <si>
    <t xml:space="preserve">medical</t>
  </si>
  <si>
    <t xml:space="preserve">neuroscience</t>
  </si>
  <si>
    <t xml:space="preserve">https://www.sensorium-competition.net?ref=mlcontests</t>
  </si>
  <si>
    <t xml:space="preserve">https://github.com/ecker-lab/sensorium_2023</t>
  </si>
  <si>
    <t xml:space="preserve">1 Jun 2023</t>
  </si>
  <si>
    <t xml:space="preserve">22 Sep 2023</t>
  </si>
  <si>
    <t xml:space="preserve">Universities of Göttingen, Tübingen and others</t>
  </si>
  <si>
    <t xml:space="preserve">Learn Causal Graphs For Telecom Networks</t>
  </si>
  <si>
    <t xml:space="preserve">https://codalab.lisn.upsaclay.fr/competitions/13902?ref=mlcontests</t>
  </si>
  <si>
    <t xml:space="preserve">https://gcastle-hub.github.io/csl-competition?ref=mlcontests</t>
  </si>
  <si>
    <t xml:space="preserve">➡️ Causal ML</t>
  </si>
  <si>
    <t xml:space="preserve">causal</t>
  </si>
  <si>
    <t xml:space="preserve">telecom</t>
  </si>
  <si>
    <t xml:space="preserve">operations</t>
  </si>
  <si>
    <t xml:space="preserve">graph</t>
  </si>
  <si>
    <t xml:space="preserve">1 Aug 2023</t>
  </si>
  <si>
    <t xml:space="preserve">30 Sep 2023</t>
  </si>
  <si>
    <t xml:space="preserve">22 Oct 2023</t>
  </si>
  <si>
    <t xml:space="preserve">Huawei</t>
  </si>
  <si>
    <t xml:space="preserve">g-score (Huawei internal)</t>
  </si>
  <si>
    <t xml:space="preserve">0.043</t>
  </si>
  <si>
    <t xml:space="preserve">CXR-LT: Multi-Label Long-Tailed Classification on Chest X-Rays</t>
  </si>
  <si>
    <t xml:space="preserve">https://codalab.lisn.upsaclay.fr/competitions/12599</t>
  </si>
  <si>
    <t xml:space="preserve">https://bionlplab.github.io/2023_ICCV_CVAMD/</t>
  </si>
  <si>
    <t xml:space="preserve">https://cvamd2023.github.io/</t>
  </si>
  <si>
    <t xml:space="preserve">1 May 2023</t>
  </si>
  <si>
    <t xml:space="preserve">7 Jul 2023</t>
  </si>
  <si>
    <t xml:space="preserve">Artificial Intelligence Journal</t>
  </si>
  <si>
    <t xml:space="preserve">ICCV</t>
  </si>
  <si>
    <t xml:space="preserve">Reconstruction of Human-Object Interactions</t>
  </si>
  <si>
    <t xml:space="preserve">https://rhobin-challenge.github.io/?ref=mlcontests</t>
  </si>
  <si>
    <t xml:space="preserve">https://codalab.lisn.upsaclay.fr/competitions/9280</t>
  </si>
  <si>
    <t xml:space="preserve">https://codalab.lisn.upsaclay.fr/competitions/9336</t>
  </si>
  <si>
    <t xml:space="preserve">https://codalab.lisn.upsaclay.fr/competitions/9337</t>
  </si>
  <si>
    <t xml:space="preserve">1 Feb 2023</t>
  </si>
  <si>
    <t xml:space="preserve">15 May 2023</t>
  </si>
  <si>
    <t xml:space="preserve">CVPR</t>
  </si>
  <si>
    <t xml:space="preserve">NTIRE2023 Image Restoration/Enhancement Challenges?ref=mlcontests</t>
  </si>
  <si>
    <t xml:space="preserve">https://cvlai.net/ntire/2023/#challenge</t>
  </si>
  <si>
    <t xml:space="preserve">10 Jan 2023</t>
  </si>
  <si>
    <t xml:space="preserve">7 Mar 2023</t>
  </si>
  <si>
    <t xml:space="preserve">14 Mar 2023</t>
  </si>
  <si>
    <t xml:space="preserve">MAFAT Satellite Vision Challenge</t>
  </si>
  <si>
    <t xml:space="preserve">https://codalab.lisn.upsaclay.fr/competitions/9603?ref=mlcontests</t>
  </si>
  <si>
    <t xml:space="preserve">geo</t>
  </si>
  <si>
    <t xml:space="preserve">satellite</t>
  </si>
  <si>
    <t xml:space="preserve">object detection</t>
  </si>
  <si>
    <t xml:space="preserve">self-supervised</t>
  </si>
  <si>
    <t xml:space="preserve">detection</t>
  </si>
  <si>
    <t xml:space="preserve">20 Apr 2023</t>
  </si>
  <si>
    <t xml:space="preserve">27 Apr 2023</t>
  </si>
  <si>
    <t xml:space="preserve">$45,000</t>
  </si>
  <si>
    <t xml:space="preserve">MAFAT</t>
  </si>
  <si>
    <t xml:space="preserve">Spot Birds in Drone Images</t>
  </si>
  <si>
    <t xml:space="preserve">https://codalab.lisn.upsaclay.fr/competitions/9594?ref=mlcontests</t>
  </si>
  <si>
    <t xml:space="preserve">https://www.mva-org.jp/mva2023/index.php?id=challenge</t>
  </si>
  <si>
    <t xml:space="preserve">14 Apr 2023</t>
  </si>
  <si>
    <t xml:space="preserve">21 Apr 2023</t>
  </si>
  <si>
    <t xml:space="preserve">$8,000</t>
  </si>
  <si>
    <t xml:space="preserve">MVA</t>
  </si>
  <si>
    <t xml:space="preserve">DeepFake Game Competition</t>
  </si>
  <si>
    <t xml:space="preserve">https://dfgc2021.iapr-tc4.org/</t>
  </si>
  <si>
    <t xml:space="preserve">https://codalab.lisn.upsaclay.fr/competitions/3523</t>
  </si>
  <si>
    <t xml:space="preserve">https://codalab.lisn.upsaclay.fr/competitions/2149</t>
  </si>
  <si>
    <t xml:space="preserve">15 Mar 2022</t>
  </si>
  <si>
    <t xml:space="preserve">25 Apr 2022</t>
  </si>
  <si>
    <t xml:space="preserve">$80,000</t>
  </si>
  <si>
    <t xml:space="preserve">IJCB</t>
  </si>
  <si>
    <t xml:space="preserve">Self-Supervised Learning for Autonomous Driving</t>
  </si>
  <si>
    <t xml:space="preserve">https://sslad2022.github.io/pages/challenge.html</t>
  </si>
  <si>
    <t xml:space="preserve">1 Aug 2022</t>
  </si>
  <si>
    <t xml:space="preserve">ECCV</t>
  </si>
  <si>
    <t xml:space="preserve">Panoptic Scene Graph Generation</t>
  </si>
  <si>
    <t xml:space="preserve">https://codalab.lisn.upsaclay.fr/competitions/6734</t>
  </si>
  <si>
    <t xml:space="preserve">interpretation</t>
  </si>
  <si>
    <t xml:space="preserve">https://www.cvmart.net/race/10349/base</t>
  </si>
  <si>
    <t xml:space="preserve">https://arxiv.org/abs/2207.11247</t>
  </si>
  <si>
    <t xml:space="preserve">https://psgdataset.org/</t>
  </si>
  <si>
    <t xml:space="preserve">16 Aug 2022</t>
  </si>
  <si>
    <t xml:space="preserve">6 Oct 2022</t>
  </si>
  <si>
    <t xml:space="preserve">$150,000</t>
  </si>
  <si>
    <t xml:space="preserve">IACC / Pazhou Laboratory</t>
  </si>
  <si>
    <t xml:space="preserve">Visual Question Answering Challenge</t>
  </si>
  <si>
    <t xml:space="preserve">https://codalab.lisn.upsaclay.fr/competitions/7434</t>
  </si>
  <si>
    <t xml:space="preserve">https://toloka.ai/challenges/wsdm2023/</t>
  </si>
  <si>
    <t xml:space="preserve">16 Sep 2022</t>
  </si>
  <si>
    <t xml:space="preserve">$6,000</t>
  </si>
  <si>
    <t xml:space="preserve">Toloka</t>
  </si>
  <si>
    <t xml:space="preserve">GT-RAIN: Single Image Deraining</t>
  </si>
  <si>
    <t xml:space="preserve">https://codalab.lisn.upsaclay.fr/competitions/7988</t>
  </si>
  <si>
    <t xml:space="preserve">style</t>
  </si>
  <si>
    <t xml:space="preserve">24 Oct 2022</t>
  </si>
  <si>
    <t xml:space="preserve">31 Mar 2023</t>
  </si>
  <si>
    <t xml:space="preserve">$2,300</t>
  </si>
  <si>
    <t xml:space="preserve">US ARL</t>
  </si>
  <si>
    <t xml:space="preserve">Segment Satellite Images into Surface Types</t>
  </si>
  <si>
    <t xml:space="preserve">https://codalab.lisn.upsaclay.fr/competitions/8769</t>
  </si>
  <si>
    <t xml:space="preserve">https://arxiv.org/pdf/2211.12979.pdf</t>
  </si>
  <si>
    <t xml:space="preserve">21 Nov 2022</t>
  </si>
  <si>
    <t xml:space="preserve">21 Mar 2023</t>
  </si>
  <si>
    <t xml:space="preserve">IGN</t>
  </si>
  <si>
    <t xml:space="preserve">The Autocast Competition - Warm-Up Round</t>
  </si>
  <si>
    <t xml:space="preserve">https://forecasting.mlsafety.org/</t>
  </si>
  <si>
    <t xml:space="preserve">14 Sep 2022</t>
  </si>
  <si>
    <t xml:space="preserve">17 Apr 2023</t>
  </si>
  <si>
    <t xml:space="preserve">$125,000</t>
  </si>
  <si>
    <t xml:space="preserve">Center for AI Safety</t>
  </si>
  <si>
    <t xml:space="preserve">April 2023 Competition Update: The Autocast competition will soon be closed. Due to the Collapse of the FTX Future Fund, we are unable to continue with the competition as initially planned. As such, we will be ending the Autocast competition by next Monday (4/17th). In case this notice is missed, late submissions can be sent to forecasting@mlsafety.org until the 27th. We will distribute a reduced prize and will reach out to the top three participants with further details on the prize distribution process.  </t>
  </si>
  <si>
    <t xml:space="preserve">Sentiment Analysis for Low-resource African Languages</t>
  </si>
  <si>
    <t xml:space="preserve">https://codalab.lisn.upsaclay.fr/competitions/7320</t>
  </si>
  <si>
    <t xml:space="preserve">sentiment</t>
  </si>
  <si>
    <t xml:space="preserve">ml</t>
  </si>
  <si>
    <t xml:space="preserve">semeval</t>
  </si>
  <si>
    <t xml:space="preserve">africa</t>
  </si>
  <si>
    <t xml:space="preserve">https://afrisenti-semeval.github.io/</t>
  </si>
  <si>
    <t xml:space="preserve">https://github.com/afrisenti-semeval/afrisent-semeval-2023</t>
  </si>
  <si>
    <t xml:space="preserve">31 Jan 2023</t>
  </si>
  <si>
    <t xml:space="preserve">HausaNLP</t>
  </si>
  <si>
    <t xml:space="preserve">EMNLP</t>
  </si>
  <si>
    <t xml:space="preserve">Detect and Track Objects in Satellite Videos</t>
  </si>
  <si>
    <t xml:space="preserve">https://satvideodt.github.io/</t>
  </si>
  <si>
    <t xml:space="preserve">https://codalab.lisn.upsaclay.fr/competitions/2802</t>
  </si>
  <si>
    <t xml:space="preserve">3</t>
  </si>
  <si>
    <t xml:space="preserve">ICPR</t>
  </si>
  <si>
    <t xml:space="preserve">Find Pipe Defects in Videos</t>
  </si>
  <si>
    <t xml:space="preserve">https://videopipe.github.io/</t>
  </si>
  <si>
    <t xml:space="preserve">5 Mar 2022</t>
  </si>
  <si>
    <t xml:space="preserve">5 May 2022</t>
  </si>
  <si>
    <t xml:space="preserve">2</t>
  </si>
  <si>
    <t xml:space="preserve">ODOR: Detect Smell-Related Objects in Artworks</t>
  </si>
  <si>
    <t xml:space="preserve">https://icprmsr.github.io/</t>
  </si>
  <si>
    <t xml:space="preserve">https://codalab.lisn.upsaclay.fr/competitions/1939</t>
  </si>
  <si>
    <t xml:space="preserve">8 May 2022</t>
  </si>
  <si>
    <t xml:space="preserve">18 May 2022</t>
  </si>
  <si>
    <t xml:space="preserve">Multimodal Subtitle Recognition</t>
  </si>
  <si>
    <t xml:space="preserve">multimodal</t>
  </si>
  <si>
    <t xml:space="preserve">https://codalab.lisn.upsaclay.fr/competitions/2415#participate</t>
  </si>
  <si>
    <t xml:space="preserve">https://codalab.lisn.upsaclay.fr/competitions/2417#participate</t>
  </si>
  <si>
    <t xml:space="preserve">https://codalab.lisn.upsaclay.fr/competitions/2418#participate</t>
  </si>
  <si>
    <t xml:space="preserve">7 Mar 2022</t>
  </si>
  <si>
    <t xml:space="preserve">7 May 2022</t>
  </si>
  <si>
    <t xml:space="preserve">$15,900</t>
  </si>
  <si>
    <t xml:space="preserve">Approximate Inference in Bayesian Deep Learning</t>
  </si>
  <si>
    <t xml:space="preserve">https://competitions.codalab.org/competitions/35838</t>
  </si>
  <si>
    <t xml:space="preserve">🎲 Probabilistic ML</t>
  </si>
  <si>
    <t xml:space="preserve">https://izmailovpavel.github.io/neurips_bdl_competition/</t>
  </si>
  <si>
    <t xml:space="preserve">26 Nov 2021</t>
  </si>
  <si>
    <t xml:space="preserve">Driving SMARTS Competition</t>
  </si>
  <si>
    <t xml:space="preserve">https://codalab.lisn.upsaclay.fr/competitions/6618</t>
  </si>
  <si>
    <t xml:space="preserve">1 Nov 2022</t>
  </si>
  <si>
    <t xml:space="preserve">$14,000</t>
  </si>
  <si>
    <t xml:space="preserve">Learning By Doing</t>
  </si>
  <si>
    <t xml:space="preserve">https://learningbydoingcompetition.github.io/</t>
  </si>
  <si>
    <t xml:space="preserve">https://competitions.codalab.org/competitions/33378</t>
  </si>
  <si>
    <t xml:space="preserve">https://competitions.codalab.org/competitions/33622</t>
  </si>
  <si>
    <t xml:space="preserve">https://github.com/LearningByDoingCompetition/learningbydoing-comp</t>
  </si>
  <si>
    <t xml:space="preserve">https://neurips.cc/virtual/2021/competition/22444#bookmark-here-21988</t>
  </si>
  <si>
    <t xml:space="preserve">15 Jul 2021</t>
  </si>
  <si>
    <t xml:space="preserve">20 Aug 2021</t>
  </si>
  <si>
    <t xml:space="preserve">26 Sep 2021</t>
  </si>
  <si>
    <t xml:space="preserve">Causal Insights for Learning Paths in Education</t>
  </si>
  <si>
    <t xml:space="preserve">https://codalab.lisn.upsaclay.fr/competitions/5626</t>
  </si>
  <si>
    <t xml:space="preserve">9 Sep 2022</t>
  </si>
  <si>
    <t xml:space="preserve">Eedi</t>
  </si>
  <si>
    <t xml:space="preserve">Detect Neural Net Trojans</t>
  </si>
  <si>
    <t xml:space="preserve">https://codalab.lisn.upsaclay.fr/competitions/5951</t>
  </si>
  <si>
    <t xml:space="preserve">https://trojandetection.ai/</t>
  </si>
  <si>
    <t xml:space="preserve">$21,500</t>
  </si>
  <si>
    <t xml:space="preserve">FTX Future Fund</t>
  </si>
  <si>
    <t xml:space="preserve">Analyse Trojans: Target Label Prediction</t>
  </si>
  <si>
    <t xml:space="preserve">https://codalab.lisn.upsaclay.fr/competitions/5952</t>
  </si>
  <si>
    <t xml:space="preserve">$9,000</t>
  </si>
  <si>
    <t xml:space="preserve">Analyse Trojans: Trigger Synthesis</t>
  </si>
  <si>
    <t xml:space="preserve">https://codalab.lisn.upsaclay.fr/competitions/5953</t>
  </si>
  <si>
    <t xml:space="preserve">Design Evasive Neural Net Trojans</t>
  </si>
  <si>
    <t xml:space="preserve">https://codalab.lisn.upsaclay.fr/competitions/5954</t>
  </si>
  <si>
    <t xml:space="preserve">AutoML Decathlon</t>
  </si>
  <si>
    <t xml:space="preserve">https://codalab.lisn.upsaclay.fr/competitions/6325</t>
  </si>
  <si>
    <t xml:space="preserve">automl</t>
  </si>
  <si>
    <t xml:space="preserve">https://www.cs.cmu.edu/~automl-decathlon-22/</t>
  </si>
  <si>
    <t xml:space="preserve">https://blog.ml.cmu.edu/2022/07/07/automl-for-diverse-tasks/</t>
  </si>
  <si>
    <t xml:space="preserve">11 Nov 2022</t>
  </si>
  <si>
    <t xml:space="preserve">Meta-learning from Learning Curves</t>
  </si>
  <si>
    <t xml:space="preserve">https://codalab.lisn.upsaclay.fr/competitions/4894</t>
  </si>
  <si>
    <t xml:space="preserve">🧠 Meta Learning</t>
  </si>
  <si>
    <t xml:space="preserve">11 Jul 2022</t>
  </si>
  <si>
    <t xml:space="preserve">AutoML-Conf</t>
  </si>
  <si>
    <t xml:space="preserve">Cross-Domain MetaDL</t>
  </si>
  <si>
    <t xml:space="preserve">https://codalab.lisn.upsaclay.fr/competitions/3627</t>
  </si>
  <si>
    <t xml:space="preserve">15 Oct 2022</t>
  </si>
  <si>
    <t xml:space="preserve">MAFAT Challenge - WiFi Sensing: Non Invasive Human Presence Detection</t>
  </si>
  <si>
    <t xml:space="preserve">https://codalab.lisn.upsaclay.fr/competitions/3498</t>
  </si>
  <si>
    <t xml:space="preserve">28 Jun 2022</t>
  </si>
  <si>
    <t xml:space="preserve">Text-Independent Speaker Verification</t>
  </si>
  <si>
    <t xml:space="preserve">https://competitions.codalab.org/competitions/22472</t>
  </si>
  <si>
    <t xml:space="preserve">31 Dec 2020</t>
  </si>
  <si>
    <t xml:space="preserve">SdSV</t>
  </si>
  <si>
    <t xml:space="preserve">Text-Dependent Speaker Verification</t>
  </si>
  <si>
    <t xml:space="preserve">https://competitions.codalab.org/competitions/22393</t>
  </si>
  <si>
    <t xml:space="preserve">Learn to Run a Power Network</t>
  </si>
  <si>
    <t xml:space="preserve">https://competitions.codalab.org/competitions/24902</t>
  </si>
  <si>
    <t xml:space="preserve">Geirina</t>
  </si>
  <si>
    <t xml:space="preserve">3D-to-3D Garment Reconstruction (NeurIPS)</t>
  </si>
  <si>
    <t xml:space="preserve">https://competitions.codalab.org/competitions/24767</t>
  </si>
  <si>
    <t xml:space="preserve">3 Oct 2020</t>
  </si>
  <si>
    <t xml:space="preserve">$1,500</t>
  </si>
  <si>
    <t xml:space="preserve">Chalearn/Nvidia/Facebook/Baidu</t>
  </si>
  <si>
    <t xml:space="preserve">Image-to-3D Garment Reconstruction (NeurIPS)</t>
  </si>
  <si>
    <t xml:space="preserve">https://competitions.codalab.org/competitions/24768</t>
  </si>
  <si>
    <t xml:space="preserve">Image-to-3D Garment and Texture Reconstruction (NeurIPS)</t>
  </si>
  <si>
    <t xml:space="preserve">https://competitions.codalab.org/competitions/24769</t>
  </si>
  <si>
    <t xml:space="preserve">Determine Camera Poses from Images</t>
  </si>
  <si>
    <t xml:space="preserve">https://codalab.lisn.upsaclay.fr/competitions/5481</t>
  </si>
  <si>
    <t xml:space="preserve">21 Dec 2022</t>
  </si>
  <si>
    <t xml:space="preserve">Coder One</t>
  </si>
  <si>
    <t xml:space="preserve">https://www.gocoder.one/?s=mlc</t>
  </si>
  <si>
    <t xml:space="preserve">SitePoint, General Assembly, Hackathons Australia</t>
  </si>
  <si>
    <t xml:space="preserve">Bomberland 💣</t>
  </si>
  <si>
    <t xml:space="preserve">https://www.gocoder.one/bomberland?s=mlc</t>
  </si>
  <si>
    <t xml:space="preserve">pvp</t>
  </si>
  <si>
    <t xml:space="preserve">20 Mar 2022</t>
  </si>
  <si>
    <t xml:space="preserve">ADIA Lab Market Prediction Competition</t>
  </si>
  <si>
    <t xml:space="preserve">https://crunchdao.com/live/adialab?ref=mlcontests</t>
  </si>
  <si>
    <t xml:space="preserve">finance</t>
  </si>
  <si>
    <t xml:space="preserve">science</t>
  </si>
  <si>
    <t xml:space="preserve">16 May 2023</t>
  </si>
  <si>
    <t xml:space="preserve">10 Aug 2023</t>
  </si>
  <si>
    <t xml:space="preserve">16 Aug 2023</t>
  </si>
  <si>
    <t xml:space="preserve">CrunchDAO</t>
  </si>
  <si>
    <t xml:space="preserve">ADIA Lab</t>
  </si>
  <si>
    <t xml:space="preserve">Exun 2020 - Student ML Hackathon</t>
  </si>
  <si>
    <t xml:space="preserve">https://exunclan.com</t>
  </si>
  <si>
    <t xml:space="preserve">🤷 Interdisciplinary (Unconventional)</t>
  </si>
  <si>
    <t xml:space="preserve">20 Nov 2020</t>
  </si>
  <si>
    <t xml:space="preserve">$2,000</t>
  </si>
  <si>
    <t xml:space="preserve">Custom</t>
  </si>
  <si>
    <t xml:space="preserve">Tabular Data Exploration: Dinosaurs and Movies</t>
  </si>
  <si>
    <t xml:space="preserve">https://www.datacamp.com/competitions/everyone-can-learn-data-scholarship-2023?ref=mlcontests</t>
  </si>
  <si>
    <t xml:space="preserve">data</t>
  </si>
  <si>
    <t xml:space="preserve">analysis</t>
  </si>
  <si>
    <t xml:space="preserve">15 Jan 2024</t>
  </si>
  <si>
    <t xml:space="preserve">28 Jun 2024</t>
  </si>
  <si>
    <t xml:space="preserve">DataCamp</t>
  </si>
  <si>
    <t xml:space="preserve">Build Tools for Analysing 3D Tissue Imaging Data</t>
  </si>
  <si>
    <t xml:space="preserve">https://nanostring.devpost.com/?utm_source=mlcontests&amp;utm_medium=mlcontests&amp;utm_campaign=mlcontests</t>
  </si>
  <si>
    <t xml:space="preserve">3 May 2021</t>
  </si>
  <si>
    <t xml:space="preserve">Devpost</t>
  </si>
  <si>
    <t xml:space="preserve">Nanostring</t>
  </si>
  <si>
    <t xml:space="preserve">Azure AI Hackathon</t>
  </si>
  <si>
    <t xml:space="preserve">https://azureai.devpost.com/?utm_source=mlcontests&amp;utm_medium=mlcontests&amp;utm_campaign=mlcontests</t>
  </si>
  <si>
    <t xml:space="preserve">💻 Hackathon</t>
  </si>
  <si>
    <t xml:space="preserve">5 Apr 2021</t>
  </si>
  <si>
    <t xml:space="preserve">Microsoft</t>
  </si>
  <si>
    <t xml:space="preserve">Unbiased Fintech Hackathon</t>
  </si>
  <si>
    <t xml:space="preserve">https://iwd.devpost.com/?utm_source=mlcontests&amp;utm_medium=mlcontests&amp;utm_campaign=mlcontests</t>
  </si>
  <si>
    <t xml:space="preserve">4 Apr 2021</t>
  </si>
  <si>
    <t xml:space="preserve">$86,000</t>
  </si>
  <si>
    <t xml:space="preserve">Juniper Networks Global AI Challenge</t>
  </si>
  <si>
    <t xml:space="preserve">https://dphi.tech/challenges/juniper-networks-global-ai-challenge/286/overview/about</t>
  </si>
  <si>
    <t xml:space="preserve">DPhi</t>
  </si>
  <si>
    <t xml:space="preserve">Juniper Networks</t>
  </si>
  <si>
    <t xml:space="preserve">Weather Forecast AI Innovation Challenge</t>
  </si>
  <si>
    <t xml:space="preserve">https://dphi.tech/challenges/143/</t>
  </si>
  <si>
    <t xml:space="preserve">AI</t>
  </si>
  <si>
    <t xml:space="preserve">15 Aug 2021</t>
  </si>
  <si>
    <t xml:space="preserve">Alibaba Cloud</t>
  </si>
  <si>
    <t xml:space="preserve">Predict Earthquakes</t>
  </si>
  <si>
    <t xml:space="preserve">https://dphi.tech/challenges/aeta-earthquake-prediction-ai-algorithm-competition-2021/70/overview/about</t>
  </si>
  <si>
    <t xml:space="preserve">31 Oct 2021</t>
  </si>
  <si>
    <t xml:space="preserve">$26,000</t>
  </si>
  <si>
    <t xml:space="preserve">AETA/Various</t>
  </si>
  <si>
    <t xml:space="preserve">Detect Spacecraft in Images</t>
  </si>
  <si>
    <t xml:space="preserve">https://www.drivendata.org/competitions/260/spacecraft-detection/?ref=mlcontests</t>
  </si>
  <si>
    <t xml:space="preserve">14 Mar 2024</t>
  </si>
  <si>
    <t xml:space="preserve">14 May 2024</t>
  </si>
  <si>
    <t xml:space="preserve">DrivenData</t>
  </si>
  <si>
    <t xml:space="preserve">NASA Tournament Lab</t>
  </si>
  <si>
    <t xml:space="preserve">Identify Spacecraft Positions and Orientations</t>
  </si>
  <si>
    <t xml:space="preserve">https://www.drivendata.org/competitions/261/spacecraft-pose-estimation/?ref=mlcontests</t>
  </si>
  <si>
    <t xml:space="preserve">$28,000</t>
  </si>
  <si>
    <t xml:space="preserve">Topic Matching on Clinical Notes</t>
  </si>
  <si>
    <t xml:space="preserve">https://www.drivendata.org/competitions/258/competition-snomed-ct/?ref=mlcontests</t>
  </si>
  <si>
    <t xml:space="preserve">annotation</t>
  </si>
  <si>
    <t xml:space="preserve">5 Mar 2024</t>
  </si>
  <si>
    <t xml:space="preserve">SNOMED International</t>
  </si>
  <si>
    <t xml:space="preserve">Kelp Wanted: Segmenting Kelp Forests</t>
  </si>
  <si>
    <t xml:space="preserve">https://www.drivendata.org/competitions/255/kelp-forest-segmentation/?ref=mlcontests</t>
  </si>
  <si>
    <t xml:space="preserve">28 Nov 2023</t>
  </si>
  <si>
    <t xml:space="preserve">21 Feb 2024</t>
  </si>
  <si>
    <t xml:space="preserve">Mathwork, UMass Boston, Zooniverse</t>
  </si>
  <si>
    <t xml:space="preserve">Water Supply Forecast Rodeo</t>
  </si>
  <si>
    <t xml:space="preserve">https://www.drivendata.org/competitions/group/reclamation-water-supply-forecast/?ref=mlcontests</t>
  </si>
  <si>
    <t xml:space="preserve">https://www.drivendata.org/competitions/254/reclamation-water-supply-forecast-dev/?ref=mlcontests</t>
  </si>
  <si>
    <t xml:space="preserve">17 Oct 2023</t>
  </si>
  <si>
    <t xml:space="preserve">15 Dec 2023</t>
  </si>
  <si>
    <t xml:space="preserve">$500,000</t>
  </si>
  <si>
    <t xml:space="preserve">Bureau of Reclamation</t>
  </si>
  <si>
    <t xml:space="preserve">Improve Available Data for Alzheimer/Dementia Prediction</t>
  </si>
  <si>
    <t xml:space="preserve">https://www.drivendata.org/competitions/253/competition-nih-alzheimers-adrd-1/?ref=mlcontests</t>
  </si>
  <si>
    <t xml:space="preserve">📒 Data</t>
  </si>
  <si>
    <t xml:space="preserve">1 Sep 2023</t>
  </si>
  <si>
    <t xml:space="preserve">17 Jan 2024</t>
  </si>
  <si>
    <t xml:space="preserve">31 Jan 2024</t>
  </si>
  <si>
    <t xml:space="preserve">NIH, NASA</t>
  </si>
  <si>
    <t xml:space="preserve">Build and Demo an AI Research Assistant</t>
  </si>
  <si>
    <t xml:space="preserve">https://www.drivendata.org/competitions/252/ai-research-assistants/?ref=mlcontests</t>
  </si>
  <si>
    <t xml:space="preserve">📊 Analysis/Visualisation</t>
  </si>
  <si>
    <t xml:space="preserve">research</t>
  </si>
  <si>
    <t xml:space="preserve">9 Aug 2023</t>
  </si>
  <si>
    <t xml:space="preserve">2 Oct 2023</t>
  </si>
  <si>
    <t xml:space="preserve">NASA</t>
  </si>
  <si>
    <t xml:space="preserve">Understand Falls in Older Adults</t>
  </si>
  <si>
    <t xml:space="preserve">https://www.drivendata.org/competitions/217/cdc-fall-narratives/?ref=mlcontests</t>
  </si>
  <si>
    <t xml:space="preserve">unsupervised</t>
  </si>
  <si>
    <t xml:space="preserve">16 Jul 2023</t>
  </si>
  <si>
    <t xml:space="preserve">23 Aug 2023</t>
  </si>
  <si>
    <t xml:space="preserve">6 Oct 2023</t>
  </si>
  <si>
    <t xml:space="preserve">$70,000</t>
  </si>
  <si>
    <t xml:space="preserve">CDC</t>
  </si>
  <si>
    <t xml:space="preserve">AISG-SLA Visual Localisation Challenge</t>
  </si>
  <si>
    <t xml:space="preserve">https://aisingapore.org/technology/prize-based-challenges/aisg-sla-visual-localisation-challenge/</t>
  </si>
  <si>
    <t xml:space="preserve">26 May 2023</t>
  </si>
  <si>
    <t xml:space="preserve">26 Jul 2023</t>
  </si>
  <si>
    <t xml:space="preserve">$35,000</t>
  </si>
  <si>
    <t xml:space="preserve">AI Singapore</t>
  </si>
  <si>
    <t xml:space="preserve">Predict Melanoma Relapse</t>
  </si>
  <si>
    <t xml:space="preserve">https://www.drivendata.org/competitions/148?ref=mlcontests</t>
  </si>
  <si>
    <t xml:space="preserve">11 May 2023</t>
  </si>
  <si>
    <t xml:space="preserve">VisioMel, French Ministerial Delegation for Digital Health</t>
  </si>
  <si>
    <t xml:space="preserve">Detect Harmful Algae in Satellite Imagery</t>
  </si>
  <si>
    <t xml:space="preserve">https://www.drivendata.org/competitions/143</t>
  </si>
  <si>
    <t xml:space="preserve">15 Dec 2022</t>
  </si>
  <si>
    <t xml:space="preserve">17 Feb 2023</t>
  </si>
  <si>
    <t xml:space="preserve">NASA and others</t>
  </si>
  <si>
    <t xml:space="preserve">Video Similarity Challenge: Descriptor Track</t>
  </si>
  <si>
    <t xml:space="preserve">https://www.drivendata.org/competitions/101/meta-video-similarity-descriptor/</t>
  </si>
  <si>
    <t xml:space="preserve">representation</t>
  </si>
  <si>
    <t xml:space="preserve">6 Dec 2022</t>
  </si>
  <si>
    <t xml:space="preserve">24 Mar 2023</t>
  </si>
  <si>
    <t xml:space="preserve">9 Apr 2023</t>
  </si>
  <si>
    <t xml:space="preserve">Meta AI</t>
  </si>
  <si>
    <t xml:space="preserve">Video Similarity Challenge: Matching Track</t>
  </si>
  <si>
    <t xml:space="preserve">Predict Forest Biomass from Satellite Imagery</t>
  </si>
  <si>
    <t xml:space="preserve">https://www.drivendata.org/competitions/99/</t>
  </si>
  <si>
    <t xml:space="preserve">https://drivendata.co/blog/biomass-benchmark</t>
  </si>
  <si>
    <t xml:space="preserve">27 Jan 2023</t>
  </si>
  <si>
    <t xml:space="preserve">MathWorks</t>
  </si>
  <si>
    <t xml:space="preserve">Predict Air Quality from Satellite Images and Sensor Data (Trace Gases)</t>
  </si>
  <si>
    <t xml:space="preserve">https://www.drivendata.org/competitions/91/</t>
  </si>
  <si>
    <t xml:space="preserve">21 Mar 2022</t>
  </si>
  <si>
    <t xml:space="preserve">Predict Air Quality from Satellite Images and Sensor Data (Particulates)</t>
  </si>
  <si>
    <t xml:space="preserve">https://www.drivendata.org/competitions/88/competition-air-quality-pm/page/423/</t>
  </si>
  <si>
    <t xml:space="preserve">Identify beluga Whales from Images</t>
  </si>
  <si>
    <t xml:space="preserve">https://www.drivendata.org/competitions/96/beluga-whales/</t>
  </si>
  <si>
    <t xml:space="preserve">30 Jun 2022</t>
  </si>
  <si>
    <t xml:space="preserve">BOEM</t>
  </si>
  <si>
    <t xml:space="preserve">Analyse Martian Mass Spectrometry Data with EGA</t>
  </si>
  <si>
    <t xml:space="preserve">https://www.drivendata.org/competitions/93/nasa-mars-spectrometry?source=mlcontests</t>
  </si>
  <si>
    <t xml:space="preserve">18 Apr 2022</t>
  </si>
  <si>
    <t xml:space="preserve">Analyse Martian Mass Spectrometry Data with GCSMS</t>
  </si>
  <si>
    <t xml:space="preserve">https://www.drivendata.org/competitions/97/</t>
  </si>
  <si>
    <t xml:space="preserve">Identify Hateful Memes</t>
  </si>
  <si>
    <t xml:space="preserve">https://www.drivendata.org/competitions/64/hateful-memes/</t>
  </si>
  <si>
    <t xml:space="preserve">31 Oct 2020</t>
  </si>
  <si>
    <t xml:space="preserve">Facebook</t>
  </si>
  <si>
    <t xml:space="preserve">Identify Stalled Blood Vessels for Alzheimer's Research</t>
  </si>
  <si>
    <t xml:space="preserve">https://www.drivendata.org/competitions/65/clog-loss-alzheimers-research/</t>
  </si>
  <si>
    <t xml:space="preserve">3 Aug 2020</t>
  </si>
  <si>
    <t xml:space="preserve">Identify Sources of Genetically Engineered DNA</t>
  </si>
  <si>
    <t xml:space="preserve">https://www.drivendata.org/competitions/63/genetic-engineering-attribution/</t>
  </si>
  <si>
    <t xml:space="preserve">14 Sep 2020</t>
  </si>
  <si>
    <t xml:space="preserve">altLabs</t>
  </si>
  <si>
    <t xml:space="preserve">Detect Lesions in Cervical Biopsies</t>
  </si>
  <si>
    <t xml:space="preserve">https://www.drivendata.org/competitions/67/competition-cervical-biopsy/</t>
  </si>
  <si>
    <t xml:space="preserve">29 Oct 2020</t>
  </si>
  <si>
    <t xml:space="preserve">FSP</t>
  </si>
  <si>
    <t xml:space="preserve">Manage Differential Privacy Tradeoffs in Temporal Map Data</t>
  </si>
  <si>
    <t xml:space="preserve">https://www.drivendata.org/competitions/68/competition-differential-privacy-maps-1/</t>
  </si>
  <si>
    <t xml:space="preserve">$147,000</t>
  </si>
  <si>
    <t xml:space="preserve">NIST PSCR/NASA</t>
  </si>
  <si>
    <t xml:space="preserve">Predict Tropical Storm Wind Speeds</t>
  </si>
  <si>
    <t xml:space="preserve">https://www.drivendata.org/competitions/72/predict-wind-speeds/</t>
  </si>
  <si>
    <t xml:space="preserve">📷📈 Computer Vision +  Time Series Forecasting</t>
  </si>
  <si>
    <t xml:space="preserve">2 Feb 2021</t>
  </si>
  <si>
    <t xml:space="preserve">$13,000</t>
  </si>
  <si>
    <t xml:space="preserve">NASA/AWS/developmentSEED/...</t>
  </si>
  <si>
    <t xml:space="preserve">Geocentric Pose Estimation</t>
  </si>
  <si>
    <t xml:space="preserve">https://www.drivendata.org/competitions/78/overhead-geopose-challenge/</t>
  </si>
  <si>
    <t xml:space="preserve">19 Jul 2021</t>
  </si>
  <si>
    <t xml:space="preserve">NGA/NASA</t>
  </si>
  <si>
    <t xml:space="preserve">Facebook AI Image Similarity Challenge</t>
  </si>
  <si>
    <t xml:space="preserve">https://www.drivendata.org/competitions/79/competition-image-similarity-1-dev/</t>
  </si>
  <si>
    <t xml:space="preserve">https://sites.google.com/view/isc2021</t>
  </si>
  <si>
    <t xml:space="preserve">27 Oct 2021</t>
  </si>
  <si>
    <t xml:space="preserve">Floodwater Mapping</t>
  </si>
  <si>
    <t xml:space="preserve">https://www.drivendata.org/competitions/81/detect-flood-water/</t>
  </si>
  <si>
    <t xml:space="preserve">29 Sep 2021</t>
  </si>
  <si>
    <t xml:space="preserve">Depth Estimation for Wildlife Conservation</t>
  </si>
  <si>
    <t xml:space="preserve">https://drivendata.org/competitions/82/competition-wildlife-video-depth-estimation/</t>
  </si>
  <si>
    <t xml:space="preserve">15 Nov 2021</t>
  </si>
  <si>
    <t xml:space="preserve">Mathworks</t>
  </si>
  <si>
    <t xml:space="preserve">Detect Cloud Cover in Satellite Images</t>
  </si>
  <si>
    <t xml:space="preserve">https://www.drivendata.org/competitions/83/cloud-cover/</t>
  </si>
  <si>
    <t xml:space="preserve">2 Feb 2022</t>
  </si>
  <si>
    <t xml:space="preserve">Microsoft/Radiant Earth Foundation</t>
  </si>
  <si>
    <t xml:space="preserve">Analyse Snowpacks from Satellite Data</t>
  </si>
  <si>
    <t xml:space="preserve">https://drivendata.org/competitions/90/competition-reclamation-snow-water-eval/</t>
  </si>
  <si>
    <t xml:space="preserve">Predict Airport Configurations</t>
  </si>
  <si>
    <t xml:space="preserve">https://www.drivendata.org/competitions/92/?source=mlcontests</t>
  </si>
  <si>
    <t xml:space="preserve">$40,000</t>
  </si>
  <si>
    <t xml:space="preserve">Enhance Privacy Protections in Federated Learning</t>
  </si>
  <si>
    <t xml:space="preserve">https://www.drivendata.org/competitions/98/nist-federated-learning-1?source=mlcontests</t>
  </si>
  <si>
    <t xml:space="preserve">writing</t>
  </si>
  <si>
    <t xml:space="preserve">19 Sep 2022</t>
  </si>
  <si>
    <t xml:space="preserve">$800,000</t>
  </si>
  <si>
    <t xml:space="preserve">NIST/NSF</t>
  </si>
  <si>
    <t xml:space="preserve">Road Event Detection</t>
  </si>
  <si>
    <t xml:space="preserve">https://sites.google.com/view/road-r/home?ref=mlcontests</t>
  </si>
  <si>
    <t xml:space="preserve">🤖 Robotics</t>
  </si>
  <si>
    <t xml:space="preserve">https://github.com/gurkirt/road-dataset?ref=mlcontests</t>
  </si>
  <si>
    <t xml:space="preserve">https://learn-to-race.org/workshop-ai4ad-ijcai2022/assets/papers/paper_10.pdf</t>
  </si>
  <si>
    <t xml:space="preserve">https://eval.ai/web/challenges/challenge-page/2081/?ref=mlcontests</t>
  </si>
  <si>
    <t xml:space="preserve">13 Jun 2023</t>
  </si>
  <si>
    <t xml:space="preserve">EvalAI</t>
  </si>
  <si>
    <t xml:space="preserve">G-Research, KI Wissen </t>
  </si>
  <si>
    <t xml:space="preserve">Open Vocab Mobile Manipulation Challenge</t>
  </si>
  <si>
    <t xml:space="preserve">https://aihabitat.org/challenge/2023_homerobot_ovmm?ref=mlcontests</t>
  </si>
  <si>
    <t xml:space="preserve">https://github.com/facebookresearch/home-robot?ref=mlcontests</t>
  </si>
  <si>
    <t xml:space="preserve">robotics</t>
  </si>
  <si>
    <t xml:space="preserve">19 Jun 2023</t>
  </si>
  <si>
    <t xml:space="preserve">10 Oct 2023</t>
  </si>
  <si>
    <t xml:space="preserve">Hello-Robot</t>
  </si>
  <si>
    <t xml:space="preserve">Visual Queries 2D Localisation</t>
  </si>
  <si>
    <t xml:space="preserve">https://eval.ai/web/challenges/challenge-page/1843/overview?ref=mlcontests</t>
  </si>
  <si>
    <t xml:space="preserve">video</t>
  </si>
  <si>
    <t xml:space="preserve">query-answering</t>
  </si>
  <si>
    <t xml:space="preserve">25 Oct 2022</t>
  </si>
  <si>
    <t xml:space="preserve">Ego4D</t>
  </si>
  <si>
    <t xml:space="preserve">VizWiz ORBIT Few-Shot Challenge 2023</t>
  </si>
  <si>
    <t xml:space="preserve">https://eval.ai/web/challenges/challenge-page/1896?ref=mlcontests</t>
  </si>
  <si>
    <t xml:space="preserve">12 Jan 2023</t>
  </si>
  <si>
    <t xml:space="preserve">12 May 2023</t>
  </si>
  <si>
    <t xml:space="preserve">Recognise Materials on 3D Objects</t>
  </si>
  <si>
    <t xml:space="preserve">https://eval.ai/web/challenges/challenge-page/2031/overview</t>
  </si>
  <si>
    <t xml:space="preserve">3D</t>
  </si>
  <si>
    <t xml:space="preserve">compositional</t>
  </si>
  <si>
    <t xml:space="preserve">learning</t>
  </si>
  <si>
    <t xml:space="preserve">https://3dcompat-dataset.org/workshop/</t>
  </si>
  <si>
    <t xml:space="preserve">https://github.com/Vision-CAIR/3DCoMPaT-v2</t>
  </si>
  <si>
    <t xml:space="preserve">18 Apr 2023</t>
  </si>
  <si>
    <t xml:space="preserve">2 Jun 2023</t>
  </si>
  <si>
    <t xml:space="preserve">KAUST</t>
  </si>
  <si>
    <t xml:space="preserve">MyoChallenge</t>
  </si>
  <si>
    <t xml:space="preserve">https://sites.google.com/view/myochallenge</t>
  </si>
  <si>
    <t xml:space="preserve">20 Oct 2022</t>
  </si>
  <si>
    <t xml:space="preserve">University of Twente, Google Cloud</t>
  </si>
  <si>
    <t xml:space="preserve">ORBIT Few-Shot Object Recognition Challenge 2022</t>
  </si>
  <si>
    <t xml:space="preserve">https://eval.ai/web/challenges/challenge-page/1438/overview</t>
  </si>
  <si>
    <t xml:space="preserve">6 May 2022</t>
  </si>
  <si>
    <t xml:space="preserve">Eye Tracking for VR and AR</t>
  </si>
  <si>
    <t xml:space="preserve">https://research.fb.com/programs/openeds-2020-challenge/</t>
  </si>
  <si>
    <t xml:space="preserve">31 Jul 2020</t>
  </si>
  <si>
    <t xml:space="preserve">Predict When Cherry Trees Bloom</t>
  </si>
  <si>
    <t xml:space="preserve">https://competition.statistics.gmu.edu/?source=mlcontests</t>
  </si>
  <si>
    <t xml:space="preserve">28 Feb 2022</t>
  </si>
  <si>
    <t xml:space="preserve">George Mason University</t>
  </si>
  <si>
    <t xml:space="preserve">Shell.ai Hackathon 2023</t>
  </si>
  <si>
    <t xml:space="preserve">https://www.hackerearth.com/challenges/new/competitive/shellai-hackathon-2023/?ref=mlcontests</t>
  </si>
  <si>
    <t xml:space="preserve">image recognition</t>
  </si>
  <si>
    <t xml:space="preserve">21 Jul 2023</t>
  </si>
  <si>
    <t xml:space="preserve">27 Aug 2023</t>
  </si>
  <si>
    <t xml:space="preserve">$9,200</t>
  </si>
  <si>
    <t xml:space="preserve">HackerEarth</t>
  </si>
  <si>
    <t xml:space="preserve">Udacity, IITM, Ortec</t>
  </si>
  <si>
    <t xml:space="preserve">HackerEarth Deep Learning challenge: #FriendshipGoals</t>
  </si>
  <si>
    <t xml:space="preserve">https://www.hackerearth.com/challenges/competitive/hackerearth-deep-learning-challenge-friendship-day/</t>
  </si>
  <si>
    <t xml:space="preserve">🎓 Various</t>
  </si>
  <si>
    <t xml:space="preserve">8 Sep 2020</t>
  </si>
  <si>
    <t xml:space="preserve">HackerEarth Machine Learning Challenge—Adopt a buddy</t>
  </si>
  <si>
    <t xml:space="preserve">https://www.hackerearth.com/challenges/competitive/hackerearth-machine-learning-challenge-pet-adoption/</t>
  </si>
  <si>
    <t xml:space="preserve">19 Aug 2020</t>
  </si>
  <si>
    <t xml:space="preserve">Auto-tag Gala Images</t>
  </si>
  <si>
    <t xml:space="preserve">https://www.hackerearth.com/challenges/competitive/hackerearth-deep-learning-challenge-auto-tag-images-gala/</t>
  </si>
  <si>
    <t xml:space="preserve">📷 Image Tagging</t>
  </si>
  <si>
    <t xml:space="preserve">7 Apr 2020</t>
  </si>
  <si>
    <t xml:space="preserve">$475</t>
  </si>
  <si>
    <t xml:space="preserve">Detect emotions of your favorite toons</t>
  </si>
  <si>
    <t xml:space="preserve">https://www.hackerearth.com/challenges/competitive/hackerearth-deep-learning-challenge-emotion-detection-tom-jerry-cartoon/</t>
  </si>
  <si>
    <t xml:space="preserve">📷 Image Classification</t>
  </si>
  <si>
    <t xml:space="preserve">1 May 2020</t>
  </si>
  <si>
    <t xml:space="preserve">Predict the DEFCON level</t>
  </si>
  <si>
    <t xml:space="preserve">https://www.hackerearth.com/challenges/competitive/hackerearth-machine-learning-challenge-predict-defcon-level/</t>
  </si>
  <si>
    <t xml:space="preserve">20 Mar 2020</t>
  </si>
  <si>
    <t xml:space="preserve">Create Building Wireframes from Photos</t>
  </si>
  <si>
    <t xml:space="preserve">https://huggingface.co/spaces/Building3D/USM3D?ref=mlcontests</t>
  </si>
  <si>
    <t xml:space="preserve">https://building3d.ucalgary.ca/</t>
  </si>
  <si>
    <t xml:space="preserve">Hugging Face</t>
  </si>
  <si>
    <t xml:space="preserve">University of Calgary, Popsmart</t>
  </si>
  <si>
    <t xml:space="preserve">In this competition, we will not approve accounts with email addresses from free email providers, such as gmail.com, qq.com, web.de, etc. Only university or company email addresses will be eligible for prize awards.</t>
  </si>
  <si>
    <t xml:space="preserve">Forest Fire Image Segmentation</t>
  </si>
  <si>
    <t xml:space="preserve">https://huggingface.co/spaces/competitions/ChaBuD-ECML-PKDD2023?ref=mlcontests</t>
  </si>
  <si>
    <t xml:space="preserve">15 Jul 2023</t>
  </si>
  <si>
    <t xml:space="preserve">ECML/PKDD</t>
  </si>
  <si>
    <t xml:space="preserve">Explore Project Schedule and Cost Overruns</t>
  </si>
  <si>
    <t xml:space="preserve">https://app.humyn.ai/challenges/31d88b43-7089-4ba4-98e4-d672fd5d02d6?ref=mlcontests</t>
  </si>
  <si>
    <t xml:space="preserve">11 Aug 2023</t>
  </si>
  <si>
    <t xml:space="preserve">Humyn.ai</t>
  </si>
  <si>
    <t xml:space="preserve">Understand What Influences Rail Delays</t>
  </si>
  <si>
    <t xml:space="preserve">https://app.humyn.ai/challenges/b304cb64-c8c7-4f7c-af4e-5e4b7dd13871?ref=mlcontests</t>
  </si>
  <si>
    <t xml:space="preserve">18 Aug 2023</t>
  </si>
  <si>
    <t xml:space="preserve">Predict Permeability of Coal Seams</t>
  </si>
  <si>
    <t xml:space="preserve">https://app.humyn.ai/challenges/6f833dd5-f9f1-40c1-8c76-249f98988a08?ref=mlc</t>
  </si>
  <si>
    <t xml:space="preserve">23 May 2023</t>
  </si>
  <si>
    <t xml:space="preserve">$6,600</t>
  </si>
  <si>
    <t xml:space="preserve">Predict and Create STL Files</t>
  </si>
  <si>
    <t xml:space="preserve">https://app.humyn.ai/challenges/157fdb9c-3721-4255-ace3-01045795e64d?ref=mlcontests</t>
  </si>
  <si>
    <t xml:space="preserve">20 Sep 2023</t>
  </si>
  <si>
    <t xml:space="preserve">18 Oct 2023</t>
  </si>
  <si>
    <t xml:space="preserve">$4,600</t>
  </si>
  <si>
    <t xml:space="preserve">Predict Elements in a Scanned Core Sample</t>
  </si>
  <si>
    <t xml:space="preserve">https://app.humyn.ai/challenges/f2759290-c693-4e60-9821-95beebde5f57?ref=mlc</t>
  </si>
  <si>
    <t xml:space="preserve">5 Oct 2023</t>
  </si>
  <si>
    <t xml:space="preserve">$6,300</t>
  </si>
  <si>
    <t xml:space="preserve">Create mineral exploration targets</t>
  </si>
  <si>
    <t xml:space="preserve">https://app.humyn.ai/challenges/0e2020a4-8b6e-449a-bfc7-15297cf56936?ref=mlcontests</t>
  </si>
  <si>
    <t xml:space="preserve">3d</t>
  </si>
  <si>
    <t xml:space="preserve">22 Nov 2023</t>
  </si>
  <si>
    <t xml:space="preserve">8 Jan 2024</t>
  </si>
  <si>
    <t xml:space="preserve">$250,000</t>
  </si>
  <si>
    <t xml:space="preserve">Dundee Precious Metals</t>
  </si>
  <si>
    <t xml:space="preserve">Traffic4cast</t>
  </si>
  <si>
    <t xml:space="preserve">https://www.iarai.ac.at/traffic4cast/</t>
  </si>
  <si>
    <t xml:space="preserve">IARAI</t>
  </si>
  <si>
    <t xml:space="preserve">Weather4cast - Rain Movie Prediction</t>
  </si>
  <si>
    <t xml:space="preserve">https://www.iarai.ac.at/weather4cast</t>
  </si>
  <si>
    <t xml:space="preserve">📷+📈 Computer Vision + Time Series Forecasting</t>
  </si>
  <si>
    <t xml:space="preserve">$16,000</t>
  </si>
  <si>
    <t xml:space="preserve">IARAI's Weather4cast competition @2021 IEEE Big Data Cup</t>
  </si>
  <si>
    <t xml:space="preserve">http://weather4cast.ai/</t>
  </si>
  <si>
    <t xml:space="preserve">Institute of Advanced Research in Artificial Intelligence (IARAI)</t>
  </si>
  <si>
    <t xml:space="preserve">Traffic Map Movie Forecasting 2020 (NeurIPS)</t>
  </si>
  <si>
    <t xml:space="preserve">$17,000</t>
  </si>
  <si>
    <t xml:space="preserve">Hearthstone AI Competition</t>
  </si>
  <si>
    <t xml:space="preserve">microRTS AI Competition</t>
  </si>
  <si>
    <t xml:space="preserve">https://sites.google.com/site/micrortsaicompetition/home</t>
  </si>
  <si>
    <t xml:space="preserve">StarCraft AI Competition</t>
  </si>
  <si>
    <t xml:space="preserve">https://cilab.gist.ac.kr/sc_competition/</t>
  </si>
  <si>
    <t xml:space="preserve">Bot Bowl II</t>
  </si>
  <si>
    <t xml:space="preserve">https://njustesen.github.io/ffai/bot-bowl-ii</t>
  </si>
  <si>
    <t xml:space="preserve">ColorShapeLinks AI competition</t>
  </si>
  <si>
    <t xml:space="preserve">https://videojogoslusofona.github.io/color-shape-links-ai-competition/</t>
  </si>
  <si>
    <t xml:space="preserve">14 Aug 2020</t>
  </si>
  <si>
    <t xml:space="preserve">Vesuvius Challenge - Decode Ancient Text from Scans</t>
  </si>
  <si>
    <t xml:space="preserve">https://scrollprize.org/2024_prizes</t>
  </si>
  <si>
    <t xml:space="preserve">history</t>
  </si>
  <si>
    <t xml:space="preserve">27 Feb 2024</t>
  </si>
  <si>
    <t xml:space="preserve">31 Dec 2024</t>
  </si>
  <si>
    <t xml:space="preserve">$625,000</t>
  </si>
  <si>
    <t xml:space="preserve">Independent</t>
  </si>
  <si>
    <t xml:space="preserve">$100k grand prize, 50k/12.5k first/second auto-segmentation prize, $112.5k first letters prizes, $350k monthly progress prizes.</t>
  </si>
  <si>
    <t xml:space="preserve">LLM Capture-The-Flag, Defense Phase</t>
  </si>
  <si>
    <t xml:space="preserve">https://ctf.spylab.ai</t>
  </si>
  <si>
    <t xml:space="preserve">🛡️ Security</t>
  </si>
  <si>
    <t xml:space="preserve">https://ctf.spylab.ai/static/rules.pdf</t>
  </si>
  <si>
    <t xml:space="preserve">https://satml.org/participate-competitions/</t>
  </si>
  <si>
    <t xml:space="preserve">16 Nov 2023</t>
  </si>
  <si>
    <t xml:space="preserve">CISPA, European Lighthouse on Secure and Safe AI</t>
  </si>
  <si>
    <t xml:space="preserve">IEEE SaTML</t>
  </si>
  <si>
    <t xml:space="preserve">LLM Capture-The-Flag, Attack Phase</t>
  </si>
  <si>
    <t xml:space="preserve">29 Feb 2024</t>
  </si>
  <si>
    <t xml:space="preserve">Help Humans Discover Trojans</t>
  </si>
  <si>
    <t xml:space="preserve">https://benchmarking-interpretability.csail.mit.edu/challenges-and-prizes/?ref=mlcontests</t>
  </si>
  <si>
    <t xml:space="preserve">interpretability</t>
  </si>
  <si>
    <t xml:space="preserve">22 Mar 2024</t>
  </si>
  <si>
    <t xml:space="preserve">SATML</t>
  </si>
  <si>
    <t xml:space="preserve">AI Cyber Challenge: Semifinal</t>
  </si>
  <si>
    <t xml:space="preserve">https://aicyberchallenge.com/opentrack?ref=mlcontests</t>
  </si>
  <si>
    <t xml:space="preserve">13 Dec 2023</t>
  </si>
  <si>
    <t xml:space="preserve">30 Apr 2023</t>
  </si>
  <si>
    <t xml:space="preserve">30 Apr 2024</t>
  </si>
  <si>
    <t xml:space="preserve">$14,000,000</t>
  </si>
  <si>
    <t xml:space="preserve">DARPA</t>
  </si>
  <si>
    <t xml:space="preserve">DEF CON</t>
  </si>
  <si>
    <t xml:space="preserve">LLM Efficiency Challenge</t>
  </si>
  <si>
    <t xml:space="preserve">https://llm-efficiency-challenge.github.io/?ref=mlcontests</t>
  </si>
  <si>
    <t xml:space="preserve">15 Oct 2023</t>
  </si>
  <si>
    <t xml:space="preserve">$10,500</t>
  </si>
  <si>
    <t xml:space="preserve">F1Tenth Autonomous Grand Prix</t>
  </si>
  <si>
    <t xml:space="preserve">https://iros2023-race.f1tenth.org?ref=mlcontests</t>
  </si>
  <si>
    <t xml:space="preserve">hardware</t>
  </si>
  <si>
    <t xml:space="preserve">https://ieee-iros.org/competitions/</t>
  </si>
  <si>
    <t xml:space="preserve">4 Oct 2023</t>
  </si>
  <si>
    <t xml:space="preserve">IROS</t>
  </si>
  <si>
    <t xml:space="preserve">Humanoid Robot Wrestling</t>
  </si>
  <si>
    <t xml:space="preserve">https://webots.cloud/run?version=R2023a&amp;url=https://github.com/cyberbotics/wrestling/blob/competition/worlds/wrestling.wbt&amp;type=competition</t>
  </si>
  <si>
    <t xml:space="preserve">simulation</t>
  </si>
  <si>
    <t xml:space="preserve">https://github.com/cyberbotics/wrestling</t>
  </si>
  <si>
    <t xml:space="preserve">23 Jun 2023</t>
  </si>
  <si>
    <t xml:space="preserve">$1,900</t>
  </si>
  <si>
    <t xml:space="preserve">Cyberbotics</t>
  </si>
  <si>
    <t xml:space="preserve">Design Functional Robotic Clothing</t>
  </si>
  <si>
    <t xml:space="preserve">https://www.ff-iros2023.com/?ref=mlcontests</t>
  </si>
  <si>
    <t xml:space="preserve">25 Mar 2023</t>
  </si>
  <si>
    <t xml:space="preserve">24 Apr 2023</t>
  </si>
  <si>
    <t xml:space="preserve">Robot Air Hockey Challenge</t>
  </si>
  <si>
    <t xml:space="preserve">https://air-hockey-challenge.robot-learning.net/challenge-details?ref=mlcontests</t>
  </si>
  <si>
    <t xml:space="preserve">https://github.com/AirHockeyChallenge/air_hockey_challenge?ref=mlcontests</t>
  </si>
  <si>
    <t xml:space="preserve">https://air-hockey-challenges-docs.readthedocs.io/en/latest?ref=mlcontests</t>
  </si>
  <si>
    <t xml:space="preserve">20 Feb 2023</t>
  </si>
  <si>
    <t xml:space="preserve">1 Nov 2023</t>
  </si>
  <si>
    <t xml:space="preserve">Foundation Models for Medical Image Classification </t>
  </si>
  <si>
    <t xml:space="preserve">https://medfm2023.grand-challenge.org?ref=mlcontests</t>
  </si>
  <si>
    <t xml:space="preserve">imaging</t>
  </si>
  <si>
    <t xml:space="preserve">30 Aug 2023</t>
  </si>
  <si>
    <t xml:space="preserve">Privacy-Preserving Finetuning for LLMs</t>
  </si>
  <si>
    <t xml:space="preserve">https://benchmarks.elsa-ai.eu/?ch=2 </t>
  </si>
  <si>
    <t xml:space="preserve">3 Mar 2023</t>
  </si>
  <si>
    <t xml:space="preserve">9 Sep 2023</t>
  </si>
  <si>
    <t xml:space="preserve">elsa - European Union </t>
  </si>
  <si>
    <t xml:space="preserve">ANLS</t>
  </si>
  <si>
    <t xml:space="preserve">Multi-Source Prim-Dijkstra Contest</t>
  </si>
  <si>
    <t xml:space="preserve">https://github.com/TILOS-AI-Institute/Multi-Source-Prim-Dijkstra/tree/main/contest</t>
  </si>
  <si>
    <t xml:space="preserve">22 Jun 2023</t>
  </si>
  <si>
    <t xml:space="preserve">15 Jun 2023</t>
  </si>
  <si>
    <t xml:space="preserve">10 Nov 2023</t>
  </si>
  <si>
    <t xml:space="preserve">$7,600</t>
  </si>
  <si>
    <t xml:space="preserve">TILOS AI Institute</t>
  </si>
  <si>
    <t xml:space="preserve">ISQED</t>
  </si>
  <si>
    <t xml:space="preserve">AWS DeepRacer League</t>
  </si>
  <si>
    <t xml:space="preserve">https://aws.amazon.com/deepracer/league/?ref=mlcontests</t>
  </si>
  <si>
    <t xml:space="preserve">live-evaluation</t>
  </si>
  <si>
    <t xml:space="preserve">Ariel Data Challenge 2023: Predicting Key Properties of Exoplanets</t>
  </si>
  <si>
    <t xml:space="preserve">https://www.ariel-datachallenge.space/</t>
  </si>
  <si>
    <t xml:space="preserve">18 Jun 2023</t>
  </si>
  <si>
    <t xml:space="preserve">$2000</t>
  </si>
  <si>
    <t xml:space="preserve">UK STFC DiRAC, UK STFC Scientific Computing, CNES, ESA, UKSA</t>
  </si>
  <si>
    <t xml:space="preserve">ECML-PKDD</t>
  </si>
  <si>
    <t xml:space="preserve">Vesuvius Challenge - Grand Prize</t>
  </si>
  <si>
    <t xml:space="preserve">https://scrollprize.org/overview#grand-prize-700000?ref=mlcontests</t>
  </si>
  <si>
    <t xml:space="preserve">31 Dec 2023</t>
  </si>
  <si>
    <t xml:space="preserve">$700,000</t>
  </si>
  <si>
    <t xml:space="preserve">Individuals</t>
  </si>
  <si>
    <t xml:space="preserve">4700</t>
  </si>
  <si>
    <t xml:space="preserve">ADAPT Human-Robot Collaborative Assembly</t>
  </si>
  <si>
    <t xml:space="preserve">https://metricsproject.eu/agile-production/adapt-challenge-icra-2023/?ref=mlcontests</t>
  </si>
  <si>
    <t xml:space="preserve">https://www.icra2023.org/competitions</t>
  </si>
  <si>
    <t xml:space="preserve">Robotic Bin Picking, Assembly, and Stacking</t>
  </si>
  <si>
    <t xml:space="preserve">https://www.sim4dexterity.de/en/icra-2023-competition.html?ref=mlcontests</t>
  </si>
  <si>
    <t xml:space="preserve">7 May 2023</t>
  </si>
  <si>
    <t xml:space="preserve">https://webots.cloud/run?version=R2023a&amp;url=https://github.com/cyberbotics/wrestling/blob/main/worlds/wrestling.wbt&amp;type=competition&amp;ref=mlcontests</t>
  </si>
  <si>
    <t xml:space="preserve">Virtual Autonomous Drone Racing</t>
  </si>
  <si>
    <t xml:space="preserve">https://uzh-rpg.github.io/drone-racing-competition/?ref=mlcontests</t>
  </si>
  <si>
    <t xml:space="preserve">20 May 2023</t>
  </si>
  <si>
    <t xml:space="preserve">Build Assistive Robots</t>
  </si>
  <si>
    <t xml:space="preserve">https://metricsproject.eu/healthcare/assistive-robot-challenge-icra-2023/?ref=mlcontests</t>
  </si>
  <si>
    <t xml:space="preserve">7 Feb 2023</t>
  </si>
  <si>
    <t xml:space="preserve">29 May 2023</t>
  </si>
  <si>
    <t xml:space="preserve">Toyota</t>
  </si>
  <si>
    <t xml:space="preserve">https://icra2023-race.f1tenth.org/?ref=mlcontests</t>
  </si>
  <si>
    <t xml:space="preserve">9 May 2023</t>
  </si>
  <si>
    <t xml:space="preserve">Robomaster University Sim2Real Challenge</t>
  </si>
  <si>
    <t xml:space="preserve">https://air.tsinghua.edu.cn/robomaster/sim2real_icra23.html?ref=mlcontests</t>
  </si>
  <si>
    <t xml:space="preserve">14 Nov 2022</t>
  </si>
  <si>
    <t xml:space="preserve">1 Dec 2022</t>
  </si>
  <si>
    <t xml:space="preserve">Prepare an English Breakfast with Robots</t>
  </si>
  <si>
    <t xml:space="preserve">https://lcas.lincoln.ac.uk/wp/events/the-pub-r-competition/?ref=mlcontests</t>
  </si>
  <si>
    <t xml:space="preserve">1 Jan 2023</t>
  </si>
  <si>
    <t xml:space="preserve">30 May 2023</t>
  </si>
  <si>
    <t xml:space="preserve">Quadruped Robot Challenges</t>
  </si>
  <si>
    <t xml:space="preserve">https://quadruped-robot-challenges.notion.site/ICRA-2023-Quadruped-Robot-Challenges?ref=mlcontests</t>
  </si>
  <si>
    <t xml:space="preserve">20 Jan 2023</t>
  </si>
  <si>
    <t xml:space="preserve">1 Mar 2023</t>
  </si>
  <si>
    <t xml:space="preserve">Benchmark Autonomous Robot Navigation</t>
  </si>
  <si>
    <t xml:space="preserve">https://cs.gmu.edu/~xiao/Research/BARN_Challenge/BARN_Challenge23.html?ref=mlcontests</t>
  </si>
  <si>
    <t xml:space="preserve">navigation</t>
  </si>
  <si>
    <t xml:space="preserve">22 May 2023</t>
  </si>
  <si>
    <t xml:space="preserve">Clearpath Robotics</t>
  </si>
  <si>
    <t xml:space="preserve">Extract Raw Tables from Infographics</t>
  </si>
  <si>
    <t xml:space="preserve">https://chartinfo.github.io/</t>
  </si>
  <si>
    <t xml:space="preserve">23 Feb 2022</t>
  </si>
  <si>
    <t xml:space="preserve">13 May 2022</t>
  </si>
  <si>
    <t xml:space="preserve">15 May 2022</t>
  </si>
  <si>
    <t xml:space="preserve">1</t>
  </si>
  <si>
    <t xml:space="preserve">Identify WasteWater from Various Sensors</t>
  </si>
  <si>
    <t xml:space="preserve">https://aida.unicas.it/icprchallenge2022/</t>
  </si>
  <si>
    <t xml:space="preserve">12 Mar 2022</t>
  </si>
  <si>
    <t xml:space="preserve">Causal Inference and Transfer Learning</t>
  </si>
  <si>
    <t xml:space="preserve">https://competition.huaweicloud.com/information/1000041792/introduction</t>
  </si>
  <si>
    <t xml:space="preserve">15 Nov 2022</t>
  </si>
  <si>
    <t xml:space="preserve">PCIC</t>
  </si>
  <si>
    <t xml:space="preserve">Causal Inference and Recommendation</t>
  </si>
  <si>
    <t xml:space="preserve">https://competition.huaweicloud.com/information/1000041793/introduction</t>
  </si>
  <si>
    <t xml:space="preserve">ZeroSpeech: Spoken Language Modelling</t>
  </si>
  <si>
    <t xml:space="preserve">https://zerospeech.com/2021/</t>
  </si>
  <si>
    <t xml:space="preserve">19 Nov 2021</t>
  </si>
  <si>
    <t xml:space="preserve">Billion-Scale Approximate Nearest Neighbour Search</t>
  </si>
  <si>
    <t xml:space="preserve">https://big-ann-benchmarks.com/</t>
  </si>
  <si>
    <t xml:space="preserve">🔍 Search</t>
  </si>
  <si>
    <t xml:space="preserve">30 Jul 2021</t>
  </si>
  <si>
    <t xml:space="preserve">Microsoft Research</t>
  </si>
  <si>
    <t xml:space="preserve">Jupyter Notebook Competition</t>
  </si>
  <si>
    <t xml:space="preserve">https://notebook.wekeo.eu/</t>
  </si>
  <si>
    <t xml:space="preserve">4 Sep 2022</t>
  </si>
  <si>
    <t xml:space="preserve">Copernicus Programme</t>
  </si>
  <si>
    <t xml:space="preserve">Roboethics Challenge</t>
  </si>
  <si>
    <t xml:space="preserve">https://competition.raiselab.ca</t>
  </si>
  <si>
    <t xml:space="preserve">25 May 2022</t>
  </si>
  <si>
    <t xml:space="preserve">McGill RAISE Lab, Others</t>
  </si>
  <si>
    <t xml:space="preserve">SeasonDepth Prediction</t>
  </si>
  <si>
    <t xml:space="preserve">http://seasondepth-challenge.org/ICRA2022.html</t>
  </si>
  <si>
    <t xml:space="preserve">20 May 2022</t>
  </si>
  <si>
    <t xml:space="preserve">AgileX Robotics</t>
  </si>
  <si>
    <t xml:space="preserve">Robotic Grasping and Manipulation</t>
  </si>
  <si>
    <t xml:space="preserve">https://rpal.cse.usf.edu/rgmc_icra2022/</t>
  </si>
  <si>
    <t xml:space="preserve">Alibaba</t>
  </si>
  <si>
    <t xml:space="preserve">DodgeDrone Challenge</t>
  </si>
  <si>
    <t xml:space="preserve">https://uzh-rpg.github.io/icra2022-dodgedrone/</t>
  </si>
  <si>
    <t xml:space="preserve">F1tenth Autonomous Grand Prix</t>
  </si>
  <si>
    <t xml:space="preserve">https://icra2022-race.f1tenth.org/</t>
  </si>
  <si>
    <t xml:space="preserve">Locomotion, Sick Sensor Intelligence</t>
  </si>
  <si>
    <t xml:space="preserve">Robomaster University AI Challenge</t>
  </si>
  <si>
    <t xml:space="preserve">https://www.robomaster.com/en-US/robo/icra?djifrom=nav</t>
  </si>
  <si>
    <t xml:space="preserve">https://air.tsinghua.edu.cn/robomaster/sim2real_icra22.html</t>
  </si>
  <si>
    <t xml:space="preserve">BARN Challenge</t>
  </si>
  <si>
    <t xml:space="preserve">https://www.cs.utexas.edu/~xiao/BARN_Challenge/BARN_Challenge.html</t>
  </si>
  <si>
    <t xml:space="preserve">2 May 2022</t>
  </si>
  <si>
    <t xml:space="preserve">Real Robot Challenge</t>
  </si>
  <si>
    <t xml:space="preserve">https://real-robot-challenge.com/</t>
  </si>
  <si>
    <t xml:space="preserve">Max Planck Institute</t>
  </si>
  <si>
    <t xml:space="preserve">Habitat Rearrangement Challenge</t>
  </si>
  <si>
    <t xml:space="preserve">https://aihabitat.org/challenge/rearrange_2022/</t>
  </si>
  <si>
    <t xml:space="preserve">Facebook AI Research</t>
  </si>
  <si>
    <t xml:space="preserve">Visual Domain Adaptation Challenge</t>
  </si>
  <si>
    <t xml:space="preserve">https://ai.bu.edu/visda-2022/</t>
  </si>
  <si>
    <t xml:space="preserve">10 Oct 2022</t>
  </si>
  <si>
    <t xml:space="preserve">Vehicle Routing Competition</t>
  </si>
  <si>
    <t xml:space="preserve">https://euro-neurips-vrp-2022.challenges.ortec.com/</t>
  </si>
  <si>
    <t xml:space="preserve">Johns Hopkins University Applied Physics Lab</t>
  </si>
  <si>
    <t xml:space="preserve">Reconnaisance Blind Chess</t>
  </si>
  <si>
    <t xml:space="preserve">https://rbc.jhuapl.edu/tournament</t>
  </si>
  <si>
    <t xml:space="preserve">19 Oct 2022</t>
  </si>
  <si>
    <t xml:space="preserve">https://sensorium2022.net/home</t>
  </si>
  <si>
    <t xml:space="preserve">Tuebingen AI Center, others</t>
  </si>
  <si>
    <t xml:space="preserve">Weakly Supervised Cell Segmentation</t>
  </si>
  <si>
    <t xml:space="preserve">https://neurips22-cellseg.grand-challenge.org/</t>
  </si>
  <si>
    <t xml:space="preserve">15 Aug 2022</t>
  </si>
  <si>
    <t xml:space="preserve">Open Catalyst Challenge</t>
  </si>
  <si>
    <t xml:space="preserve">https://opencatalystproject.org/challenge.html</t>
  </si>
  <si>
    <t xml:space="preserve">7 Oct 2022</t>
  </si>
  <si>
    <t xml:space="preserve">Facebook, CMU</t>
  </si>
  <si>
    <t xml:space="preserve">6 Oct 2021</t>
  </si>
  <si>
    <t xml:space="preserve">Speech-to-text for Indigenous Languages of the Americas</t>
  </si>
  <si>
    <t xml:space="preserve">http://turing.iimas.unam.mx/americasnlp/st.html</t>
  </si>
  <si>
    <t xml:space="preserve">$2,800</t>
  </si>
  <si>
    <t xml:space="preserve">Ariel Space Data Challenge</t>
  </si>
  <si>
    <t xml:space="preserve">21 Oct 2022</t>
  </si>
  <si>
    <t xml:space="preserve">UK SA/ ERC / ESA</t>
  </si>
  <si>
    <t xml:space="preserve">NLP for Optimisation Modelling</t>
  </si>
  <si>
    <t xml:space="preserve">https://nl4opt.github.io</t>
  </si>
  <si>
    <t xml:space="preserve">$22,000</t>
  </si>
  <si>
    <t xml:space="preserve">https://www.ecole.ai/2021/ml4co-competition/</t>
  </si>
  <si>
    <t xml:space="preserve">28 Oct 2021</t>
  </si>
  <si>
    <t xml:space="preserve">Find Tasks Where Larger Language Models Do Worse</t>
  </si>
  <si>
    <t xml:space="preserve">http://inversescaling.com</t>
  </si>
  <si>
    <t xml:space="preserve">27 Aug 2022</t>
  </si>
  <si>
    <t xml:space="preserve">Text Guided Video Editing (Generative AI)</t>
  </si>
  <si>
    <t xml:space="preserve">https://sites.google.com/view/loveucvpr23/track4</t>
  </si>
  <si>
    <t xml:space="preserve">open</t>
  </si>
  <si>
    <t xml:space="preserve">5 Jun 2023</t>
  </si>
  <si>
    <t xml:space="preserve">Steel Market Sentiment Analysis</t>
  </si>
  <si>
    <t xml:space="preserve">https://innocentive.wazoku.com/#/challenge/e745726c11a94f3bac37ffdb5485ab5f?searchIndex=5</t>
  </si>
  <si>
    <t xml:space="preserve">innocentive</t>
  </si>
  <si>
    <t xml:space="preserve">Anonymous</t>
  </si>
  <si>
    <t xml:space="preserve">2022 ITU AI/ML in 5G Challenge</t>
  </si>
  <si>
    <t xml:space="preserve">https://aiforgood.itu.int/about-ai-for-good/aiml-in-5g-challenge/</t>
  </si>
  <si>
    <t xml:space="preserve">ITU</t>
  </si>
  <si>
    <t xml:space="preserve">ITU and Partners</t>
  </si>
  <si>
    <t xml:space="preserve">2022 GeoAI Challenge</t>
  </si>
  <si>
    <t xml:space="preserve">https://aiforgood.itu.int/about-ai-for-good/geoai-challenge/</t>
  </si>
  <si>
    <t xml:space="preserve">Scheduling and Resource Allocation for UAVs</t>
  </si>
  <si>
    <t xml:space="preserve">https://ai5gchallenge.ufpa.br/</t>
  </si>
  <si>
    <t xml:space="preserve">31 Aug 2021</t>
  </si>
  <si>
    <t xml:space="preserve">AI Math Olympiad Progress Prize</t>
  </si>
  <si>
    <t xml:space="preserve">https://www.reddit.com/r/AIMOprize/comments/1ay4aiu/progress_prize_pre_announcement/</t>
  </si>
  <si>
    <t xml:space="preserve">🧮 Mathematics</t>
  </si>
  <si>
    <t xml:space="preserve">mathematics</t>
  </si>
  <si>
    <t xml:space="preserve">https://aimo.xtxmarkets.com/updates</t>
  </si>
  <si>
    <t xml:space="preserve">1 Jul 2024</t>
  </si>
  <si>
    <t xml:space="preserve">$1,048,576</t>
  </si>
  <si>
    <t xml:space="preserve">Kaggle</t>
  </si>
  <si>
    <t xml:space="preserve">XTX Markets</t>
  </si>
  <si>
    <t xml:space="preserve">Not live on Kaggle yet; pre-announced on Reddit and dates are indicative.</t>
  </si>
  <si>
    <t xml:space="preserve">Showcase Gemma LLM Usage</t>
  </si>
  <si>
    <t xml:space="preserve">https://www.kaggle.com/competitions/data-assistants-with-gemma?ref=mlcontests</t>
  </si>
  <si>
    <t xml:space="preserve">14 Apr 2024</t>
  </si>
  <si>
    <t xml:space="preserve">LLM Prompt Recovery</t>
  </si>
  <si>
    <t xml:space="preserve">https://www.kaggle.com/competitions/llm-prompt-recovery?ref=mlcontests</t>
  </si>
  <si>
    <t xml:space="preserve">9 Apr 2024</t>
  </si>
  <si>
    <t xml:space="preserve">16 Apr 2024</t>
  </si>
  <si>
    <t xml:space="preserve">Predict College Basketball Results</t>
  </si>
  <si>
    <t xml:space="preserve">https://www.kaggle.com/competitions/march-machine-learning-mania-2024?ref=mlcontests</t>
  </si>
  <si>
    <t xml:space="preserve">sport</t>
  </si>
  <si>
    <t xml:space="preserve">21 Mar 2024</t>
  </si>
  <si>
    <t xml:space="preserve">10 Apr 2024</t>
  </si>
  <si>
    <t xml:space="preserve">0.14828</t>
  </si>
  <si>
    <t xml:space="preserve">Detect Personal Data</t>
  </si>
  <si>
    <t xml:space="preserve">https://www.kaggle.com/competitions/pii-detection-removal-from-educational-data?ref=mlcontests</t>
  </si>
  <si>
    <t xml:space="preserve">education</t>
  </si>
  <si>
    <t xml:space="preserve">23 Apr 2024</t>
  </si>
  <si>
    <t xml:space="preserve">The Learning Agency Lab</t>
  </si>
  <si>
    <t xml:space="preserve">0.10965</t>
  </si>
  <si>
    <t xml:space="preserve">Credit Risk Model Stability</t>
  </si>
  <si>
    <t xml:space="preserve">https://www.kaggle.com/competitions/home-credit-credit-risk-model-stability/?ref=mlcontests</t>
  </si>
  <si>
    <t xml:space="preserve">5 Feb 2024</t>
  </si>
  <si>
    <t xml:space="preserve">29 Apr 2024</t>
  </si>
  <si>
    <t xml:space="preserve">6 May 2024</t>
  </si>
  <si>
    <t xml:space="preserve">$105,000</t>
  </si>
  <si>
    <t xml:space="preserve">Home Credit Group</t>
  </si>
  <si>
    <t xml:space="preserve">26.76</t>
  </si>
  <si>
    <t xml:space="preserve">Harmful Brain Activity Classification</t>
  </si>
  <si>
    <t xml:space="preserve">https://www.kaggle.com/competitions/hms-harmful-brain-activity-classification?ref=mlcontests</t>
  </si>
  <si>
    <t xml:space="preserve">📈 Time Series Classification</t>
  </si>
  <si>
    <t xml:space="preserve">8 Apr 2024</t>
  </si>
  <si>
    <t xml:space="preserve">Harvard Medical School</t>
  </si>
  <si>
    <t xml:space="preserve">26.4</t>
  </si>
  <si>
    <t xml:space="preserve">Santa 2023 - Polytope Permutation Puzzle</t>
  </si>
  <si>
    <t xml:space="preserve">https://www.kaggle.com/competitions/santa-2023?ref=mlcontests</t>
  </si>
  <si>
    <t xml:space="preserve">18 Dec 2023</t>
  </si>
  <si>
    <t xml:space="preserve">24 Jan 2024</t>
  </si>
  <si>
    <t xml:space="preserve">Segment Vasculature in Kidney Scans</t>
  </si>
  <si>
    <t xml:space="preserve">https://www.kaggle.com/competitions/blood-vessel-segmentation?ref=mlcontests</t>
  </si>
  <si>
    <t xml:space="preserve">7 Nov 2023</t>
  </si>
  <si>
    <t xml:space="preserve">6 Feb 2024</t>
  </si>
  <si>
    <t xml:space="preserve">SenNet, HOA</t>
  </si>
  <si>
    <t xml:space="preserve">43.52</t>
  </si>
  <si>
    <t xml:space="preserve">Predict Domestic Energy Use in Estonia</t>
  </si>
  <si>
    <t xml:space="preserve">https://www.kaggle.com/competitions/predict-energy-behavior-of-prosumers?ref=mlcontests</t>
  </si>
  <si>
    <t xml:space="preserve">Enefit</t>
  </si>
  <si>
    <t xml:space="preserve">1.15</t>
  </si>
  <si>
    <t xml:space="preserve">Detect LLM-Generated Text</t>
  </si>
  <si>
    <t xml:space="preserve">https://www.kaggle.com/competitions/llm-detect-ai-generated-text?ref=mlcontests</t>
  </si>
  <si>
    <t xml:space="preserve">22 Jan 2024</t>
  </si>
  <si>
    <t xml:space="preserve">$110,000</t>
  </si>
  <si>
    <t xml:space="preserve">Learning Agency Lab</t>
  </si>
  <si>
    <t xml:space="preserve">0.00443</t>
  </si>
  <si>
    <t xml:space="preserve">Classify Ovarian Cancer Subtypes from Scans</t>
  </si>
  <si>
    <t xml:space="preserve">https://www.kaggle.com/competitions/UBC-OCEAN?ref=mlcontests</t>
  </si>
  <si>
    <t xml:space="preserve">27 Nov 2023</t>
  </si>
  <si>
    <t xml:space="preserve">3 Jan 2023</t>
  </si>
  <si>
    <t xml:space="preserve">UBC</t>
  </si>
  <si>
    <t xml:space="preserve">794.01</t>
  </si>
  <si>
    <t xml:space="preserve">DEFCON31 Capture the Flag Challenges</t>
  </si>
  <si>
    <t xml:space="preserve">https://www.kaggle.com/competitions/ai-village-capture-the-flag-defcon31?ref=mlcontests</t>
  </si>
  <si>
    <t xml:space="preserve">9 Oct 2023</t>
  </si>
  <si>
    <t xml:space="preserve">9 Nov 2023</t>
  </si>
  <si>
    <t xml:space="preserve">AI Village</t>
  </si>
  <si>
    <t xml:space="preserve">NFL Big Data Bowl 2024</t>
  </si>
  <si>
    <t xml:space="preserve">https://www.kaggle.com/competitions/nfl-big-data-bowl-2024/?ref=mlcontests</t>
  </si>
  <si>
    <t xml:space="preserve">13 Oct 2023</t>
  </si>
  <si>
    <t xml:space="preserve">1.61</t>
  </si>
  <si>
    <t xml:space="preserve">Use Typing Behaviour to Predict Essay Quality</t>
  </si>
  <si>
    <t xml:space="preserve">https://www.kaggle.com/competitions/linking-writing-processes-to-writing-quality/?ref=mlcontests</t>
  </si>
  <si>
    <t xml:space="preserve">9 Jan 2024</t>
  </si>
  <si>
    <t xml:space="preserve">$55,000</t>
  </si>
  <si>
    <t xml:space="preserve">0.48571</t>
  </si>
  <si>
    <t xml:space="preserve">Predict US Stocks' Closing Movements</t>
  </si>
  <si>
    <t xml:space="preserve">https://www.kaggle.com/competitions/optiver-trading-at-the-close/?ref=mlcontests</t>
  </si>
  <si>
    <t xml:space="preserve">financial</t>
  </si>
  <si>
    <t xml:space="preserve">7 Sep 2023</t>
  </si>
  <si>
    <t xml:space="preserve">20 Dec 2023</t>
  </si>
  <si>
    <t xml:space="preserve">Optiver</t>
  </si>
  <si>
    <t xml:space="preserve">0.6467</t>
  </si>
  <si>
    <t xml:space="preserve">Improve Smartphone Positioning and Navigation</t>
  </si>
  <si>
    <t xml:space="preserve">https://www.kaggle.com/competitions/smartphone-decimeter-2023/?ref=mlcontests</t>
  </si>
  <si>
    <t xml:space="preserve">12 Sep 2023</t>
  </si>
  <si>
    <t xml:space="preserve">16 May 2024</t>
  </si>
  <si>
    <t xml:space="preserve">23 May 2024</t>
  </si>
  <si>
    <t xml:space="preserve">Google, ION</t>
  </si>
  <si>
    <t xml:space="preserve">ION GNSS+</t>
  </si>
  <si>
    <t xml:space="preserve">16.16</t>
  </si>
  <si>
    <t xml:space="preserve">Predict How Molecules Change Gene Expression</t>
  </si>
  <si>
    <t xml:space="preserve">https://www.kaggle.com/competitions/open-problems-single-cell-perturbations/?ref=mlcontests</t>
  </si>
  <si>
    <t xml:space="preserve">23 Nov 2023</t>
  </si>
  <si>
    <t xml:space="preserve">30 Nov 2023</t>
  </si>
  <si>
    <t xml:space="preserve">Open Problems in Single-Cell Analysis</t>
  </si>
  <si>
    <t xml:space="preserve">4.48</t>
  </si>
  <si>
    <t xml:space="preserve">Predict RNA Structures</t>
  </si>
  <si>
    <t xml:space="preserve">https://www.kaggle.com/competitions/stanford-ribonanza-rna-folding?ref=mlcontests</t>
  </si>
  <si>
    <t xml:space="preserve">7 Dec 2023</t>
  </si>
  <si>
    <t xml:space="preserve">Stanford University</t>
  </si>
  <si>
    <t xml:space="preserve">88.74</t>
  </si>
  <si>
    <t xml:space="preserve">Detect Sleep States</t>
  </si>
  <si>
    <t xml:space="preserve">https://www.kaggle.com/competitions/child-mind-institute-detect-sleep-states?ref=mlcontests</t>
  </si>
  <si>
    <t xml:space="preserve">📈 Time Series Event Detection</t>
  </si>
  <si>
    <t xml:space="preserve">5 Sep 2023</t>
  </si>
  <si>
    <t xml:space="preserve">5 Dec 2023</t>
  </si>
  <si>
    <t xml:space="preserve">Child Mind Institute</t>
  </si>
  <si>
    <t xml:space="preserve">0.98646</t>
  </si>
  <si>
    <t xml:space="preserve">Predict AI Model Runtime</t>
  </si>
  <si>
    <t xml:space="preserve">https://www.kaggle.com/competitions/predict-ai-model-runtime?ref=mlcontests</t>
  </si>
  <si>
    <t xml:space="preserve">29 Aug 2023</t>
  </si>
  <si>
    <t xml:space="preserve">17 Nov 2023</t>
  </si>
  <si>
    <t xml:space="preserve">6.37</t>
  </si>
  <si>
    <t xml:space="preserve">Detect and Classify Abdominal Injuries From CT Scans</t>
  </si>
  <si>
    <t xml:space="preserve">https://www.kaggle.com/competitions/rsna-2023-abdominal-trauma-detection/?ref=mlcontests</t>
  </si>
  <si>
    <t xml:space="preserve">https://www.rsna.org/education/ai-resources-and-training/ai-image-challenge</t>
  </si>
  <si>
    <t xml:space="preserve">RSNA</t>
  </si>
  <si>
    <t xml:space="preserve">460.34</t>
  </si>
  <si>
    <t xml:space="preserve">Bengali.Ai Speech Recognition</t>
  </si>
  <si>
    <t xml:space="preserve">https://www.kaggle.com/competitions/bengaliai-speech/?ref=mlcontests</t>
  </si>
  <si>
    <t xml:space="preserve">17 Jul 2023</t>
  </si>
  <si>
    <t xml:space="preserve">$53,000</t>
  </si>
  <si>
    <t xml:space="preserve">25.81</t>
  </si>
  <si>
    <t xml:space="preserve">Use LLMs to Answer Science Questions</t>
  </si>
  <si>
    <t xml:space="preserve">https://www.kaggle.com/competitions/kaggle-llm-science-exam?ref=mlcontests</t>
  </si>
  <si>
    <t xml:space="preserve">reasoning</t>
  </si>
  <si>
    <t xml:space="preserve">11 Jul 2023</t>
  </si>
  <si>
    <t xml:space="preserve">3 Oct 2023</t>
  </si>
  <si>
    <t xml:space="preserve">0.000364</t>
  </si>
  <si>
    <t xml:space="preserve">CommonLit - Evaluate Student Summaries</t>
  </si>
  <si>
    <t xml:space="preserve">https://www.kaggle.com/competitions/commonlit-evaluate-student-summaries?ref=mlcontests</t>
  </si>
  <si>
    <t xml:space="preserve">12 Jul 2023</t>
  </si>
  <si>
    <t xml:space="preserve">11 Oct 2023</t>
  </si>
  <si>
    <t xml:space="preserve">CommonLit, Walton Family Foundation, Schmidt Futures</t>
  </si>
  <si>
    <t xml:space="preserve">Unlearning in Image Classification</t>
  </si>
  <si>
    <t xml:space="preserve">https://www.kaggle.com/competitions/neurips-2023-machine-unlearning?ref=mlcontests</t>
  </si>
  <si>
    <t xml:space="preserve">legal</t>
  </si>
  <si>
    <t xml:space="preserve">unlearning</t>
  </si>
  <si>
    <t xml:space="preserve">https://ai.googleblog.com/2023/06/announcing-first-machine-unlearning.html</t>
  </si>
  <si>
    <t xml:space="preserve">https://unlearning-challenge.github.io/?ref=mlcontests</t>
  </si>
  <si>
    <t xml:space="preserve">11 Sep 2023</t>
  </si>
  <si>
    <t xml:space="preserve">20 Nov 2023</t>
  </si>
  <si>
    <t xml:space="preserve">Kidney Tissue Slide Segmentation</t>
  </si>
  <si>
    <t xml:space="preserve">https://www.kaggle.com/competitions/hubmap-hacking-the-human-vasculature?ref=mlcontests</t>
  </si>
  <si>
    <t xml:space="preserve">24 Jul 2023</t>
  </si>
  <si>
    <t xml:space="preserve">31 Jul 2023</t>
  </si>
  <si>
    <t xml:space="preserve">HuBMAP</t>
  </si>
  <si>
    <t xml:space="preserve">4.37</t>
  </si>
  <si>
    <t xml:space="preserve">Identify Age-Related Health Issues</t>
  </si>
  <si>
    <t xml:space="preserve">https://www.kaggle.com/competitions/icr-identify-age-related-conditions?ref=mlcontests</t>
  </si>
  <si>
    <t xml:space="preserve">3 Aug 2023</t>
  </si>
  <si>
    <t xml:space="preserve">InVitro Cell Research</t>
  </si>
  <si>
    <t xml:space="preserve">0.00035688</t>
  </si>
  <si>
    <t xml:space="preserve">Write About the State of ML</t>
  </si>
  <si>
    <t xml:space="preserve">https://www.kaggle.com/competitions/2023-kaggle-ai-report?ref=mlcontests</t>
  </si>
  <si>
    <t xml:space="preserve">5 Jul 2023</t>
  </si>
  <si>
    <t xml:space="preserve">3.75</t>
  </si>
  <si>
    <t xml:space="preserve">Predict Protein Function</t>
  </si>
  <si>
    <t xml:space="preserve">https://www.kaggle.com/competitions/cafa-5-protein-function-prediction?ref=mlcontests</t>
  </si>
  <si>
    <t xml:space="preserve">biology</t>
  </si>
  <si>
    <t xml:space="preserve">14 Aug 2023</t>
  </si>
  <si>
    <t xml:space="preserve">Function-COSI / CAFA</t>
  </si>
  <si>
    <t xml:space="preserve">0.33</t>
  </si>
  <si>
    <t xml:space="preserve">3D Scene Image Pose Estimation</t>
  </si>
  <si>
    <t xml:space="preserve">https://www.kaggle.com/competitions/image-matching-challenge-2023?ref=mlcontests</t>
  </si>
  <si>
    <t xml:space="preserve">6 Jun 2023</t>
  </si>
  <si>
    <t xml:space="preserve">Google Research</t>
  </si>
  <si>
    <t xml:space="preserve">12.64</t>
  </si>
  <si>
    <t xml:space="preserve">Human Activity Segmentation Challenge</t>
  </si>
  <si>
    <t xml:space="preserve">https://ecml-aaltd.github.io/aaltd2023/challenge.html?ref=mlcontests</t>
  </si>
  <si>
    <t xml:space="preserve">📈 Time Series Segmentation</t>
  </si>
  <si>
    <t xml:space="preserve">https://www.kaggle.com/competitions/human-activity-segmentation-challenge</t>
  </si>
  <si>
    <t xml:space="preserve">11 Jun 2023</t>
  </si>
  <si>
    <t xml:space="preserve">aeon, tslearn</t>
  </si>
  <si>
    <t xml:space="preserve">0.195</t>
  </si>
  <si>
    <t xml:space="preserve">Turn Images of Graphs Into Tabular Data</t>
  </si>
  <si>
    <t xml:space="preserve">https://www.kaggle.com/competitions/benetech-making-graphs-accessible?ref=mlcontests</t>
  </si>
  <si>
    <t xml:space="preserve">12 Jun 2023</t>
  </si>
  <si>
    <t xml:space="preserve">Benetech, Schmidt Futures</t>
  </si>
  <si>
    <t xml:space="preserve">1.47</t>
  </si>
  <si>
    <t xml:space="preserve">Recognise ASL Fingerspelling</t>
  </si>
  <si>
    <t xml:space="preserve">https://www.kaggle.com/competitions/asl-fingerspelling/?ref=mlcontests</t>
  </si>
  <si>
    <t xml:space="preserve">10 May 2023</t>
  </si>
  <si>
    <t xml:space="preserve">189.26</t>
  </si>
  <si>
    <t xml:space="preserve">Identify Aircraft Contrails in Images</t>
  </si>
  <si>
    <t xml:space="preserve">https://www.kaggle.com/competitions/google-research-identify-contrails-reduce-global-warming/?ref=mlcontests</t>
  </si>
  <si>
    <t xml:space="preserve">2 Aug 2023</t>
  </si>
  <si>
    <t xml:space="preserve">450.91</t>
  </si>
  <si>
    <t xml:space="preserve">Vesuvius Challenge - Ink Detection</t>
  </si>
  <si>
    <t xml:space="preserve">https://www.kaggle.com/competitions/vesuvius-challenge-ink-detection?ref=mlcontests</t>
  </si>
  <si>
    <t xml:space="preserve">https://scrollprize.org/</t>
  </si>
  <si>
    <t xml:space="preserve">7 Jun 2023</t>
  </si>
  <si>
    <t xml:space="preserve">1637</t>
  </si>
  <si>
    <t xml:space="preserve">March Machine Learning Mania 2023</t>
  </si>
  <si>
    <t xml:space="preserve">https://www.kaggle.com/competitions/march-machine-learning-mania-2023?ref=mlcontests</t>
  </si>
  <si>
    <t xml:space="preserve">15 Feb 2023</t>
  </si>
  <si>
    <t xml:space="preserve">0.1428</t>
  </si>
  <si>
    <t xml:space="preserve">Predict Student Performance from Game Play</t>
  </si>
  <si>
    <t xml:space="preserve">https://www.kaggle.com/competitions/predict-student-performance-from-game-play?ref=mlcontests</t>
  </si>
  <si>
    <t xml:space="preserve">6 Feb 2023</t>
  </si>
  <si>
    <t xml:space="preserve">8 May 2023</t>
  </si>
  <si>
    <t xml:space="preserve">2.33</t>
  </si>
  <si>
    <t xml:space="preserve">Predict Parkinson's Progression</t>
  </si>
  <si>
    <t xml:space="preserve">https://www.kaggle.com/competitions/amp-parkinsons-disease-progression-prediction?ref=mlcontests</t>
  </si>
  <si>
    <t xml:space="preserve">16 Feb 2023</t>
  </si>
  <si>
    <t xml:space="preserve">18 May 2023</t>
  </si>
  <si>
    <t xml:space="preserve">AMP-PD</t>
  </si>
  <si>
    <t xml:space="preserve">0.05978</t>
  </si>
  <si>
    <t xml:space="preserve">Detect Freezing-of-Gait in Parkinson's Patients</t>
  </si>
  <si>
    <t xml:space="preserve">https://www.kaggle.com/competitions/tlvmc-parkinsons-freezing-gait-prediction?ref=mlcontests</t>
  </si>
  <si>
    <t xml:space="preserve">8 Jun 2023</t>
  </si>
  <si>
    <t xml:space="preserve">Michael J Fox Foundation</t>
  </si>
  <si>
    <t xml:space="preserve">70.6</t>
  </si>
  <si>
    <t xml:space="preserve">BirdCLEF 2023: Identify Bird Calls in Soundscapes</t>
  </si>
  <si>
    <t xml:space="preserve">https://www.kaggle.com/competitions/birdclef-2023?ref=mlcontests</t>
  </si>
  <si>
    <t xml:space="preserve">17 May 2023</t>
  </si>
  <si>
    <t xml:space="preserve">24 May 2023</t>
  </si>
  <si>
    <t xml:space="preserve">Cornell Lab of Ornithology</t>
  </si>
  <si>
    <t xml:space="preserve">5.29</t>
  </si>
  <si>
    <t xml:space="preserve">Reverse Engineer Stable Diffusion Prompts</t>
  </si>
  <si>
    <t xml:space="preserve">https://www.kaggle.com/competitions/stable-diffusion-image-to-prompts?ref=mlcontests</t>
  </si>
  <si>
    <t xml:space="preserve">13 Feb 2023</t>
  </si>
  <si>
    <t xml:space="preserve">0.00324</t>
  </si>
  <si>
    <t xml:space="preserve">On-Device Sign Language Recognition with TF Lite</t>
  </si>
  <si>
    <t xml:space="preserve">https://www.kaggle.com/competitions/asl-signs/?ref=mlcontests</t>
  </si>
  <si>
    <t xml:space="preserve">23 Feb 2023</t>
  </si>
  <si>
    <t xml:space="preserve">25 Apr 2023</t>
  </si>
  <si>
    <t xml:space="preserve">2 May 2023</t>
  </si>
  <si>
    <t xml:space="preserve">56.43</t>
  </si>
  <si>
    <t xml:space="preserve">Lux AI: 1v1 Strategy Game</t>
  </si>
  <si>
    <t xml:space="preserve">https://kaggle.com/competitions/lux-ai-season-2?ref=mlcontests</t>
  </si>
  <si>
    <t xml:space="preserve">25 Jan 2023</t>
  </si>
  <si>
    <t xml:space="preserve">quantco/ Regression Games/ TSVC</t>
  </si>
  <si>
    <t xml:space="preserve">Reconstruct Neutrino Source Directions</t>
  </si>
  <si>
    <t xml:space="preserve">https://www.kaggle.com/competitions/icecube-neutrinos-in-deep-ice?ref=mlcontests</t>
  </si>
  <si>
    <t xml:space="preserve">19 Jan 2023</t>
  </si>
  <si>
    <t xml:space="preserve">13 Apr 2023</t>
  </si>
  <si>
    <t xml:space="preserve">IceCube Neutrino Observatory</t>
  </si>
  <si>
    <t xml:space="preserve">117.18</t>
  </si>
  <si>
    <t xml:space="preserve">GoDaddy Microbusiness Density Forecasting</t>
  </si>
  <si>
    <t xml:space="preserve">https://www.kaggle.com/competitions/godaddy-microbusiness-density-forecasting?ref=mlcontests</t>
  </si>
  <si>
    <t xml:space="preserve">GoDaddy</t>
  </si>
  <si>
    <t xml:space="preserve">Match Learning Content to Target Topics</t>
  </si>
  <si>
    <t xml:space="preserve">https://www.kaggle.com/competitions/learning-equality-curriculum-recommendations?ref=mlcontests</t>
  </si>
  <si>
    <t xml:space="preserve">recommendation</t>
  </si>
  <si>
    <t xml:space="preserve">Learning Equality, Learning Agency Lab, Schmidt Futures, UNHCR</t>
  </si>
  <si>
    <t xml:space="preserve">Santa 2022 - Christmas Card Optimisation</t>
  </si>
  <si>
    <t xml:space="preserve">https://www.kaggle.com/competitions/santa-2022?utm_source=mlcontests</t>
  </si>
  <si>
    <t xml:space="preserve">30 Nov 2022</t>
  </si>
  <si>
    <t xml:space="preserve">17 Jan 2023</t>
  </si>
  <si>
    <t xml:space="preserve">Mammography Breast Cancer Detection</t>
  </si>
  <si>
    <t xml:space="preserve">https://www.kaggle.com/competitions/rsna-breast-cancer-detection?utm_source=mlcontests</t>
  </si>
  <si>
    <t xml:space="preserve">28 Nov 2022</t>
  </si>
  <si>
    <t xml:space="preserve">27 Feb 2023</t>
  </si>
  <si>
    <t xml:space="preserve">NFL Player Contact Detection</t>
  </si>
  <si>
    <t xml:space="preserve">https://www.kaggle.com/competitions/nfl-player-contact-detection?utm_source=mlcontests</t>
  </si>
  <si>
    <t xml:space="preserve">5 Dec 2022</t>
  </si>
  <si>
    <t xml:space="preserve">22 Feb 2023</t>
  </si>
  <si>
    <t xml:space="preserve">NFL</t>
  </si>
  <si>
    <t xml:space="preserve">Mine Space Resources and Battle Opponents</t>
  </si>
  <si>
    <t xml:space="preserve">https://www.kaggle.com/competitions/kore-2022?utm_source=mlcontests</t>
  </si>
  <si>
    <t xml:space="preserve">12 Apr 2021</t>
  </si>
  <si>
    <t xml:space="preserve">5 Jul 2022</t>
  </si>
  <si>
    <t xml:space="preserve">12 Jul 2022</t>
  </si>
  <si>
    <t xml:space="preserve">GI Tract Image Segmentation</t>
  </si>
  <si>
    <t xml:space="preserve">https://www.kaggle.com/competitions/uw-madison-gi-tract-image-segmentation/overview/timeline</t>
  </si>
  <si>
    <t xml:space="preserve">14 Apr 2021</t>
  </si>
  <si>
    <t xml:space="preserve">7 Jul 2022</t>
  </si>
  <si>
    <t xml:space="preserve">14 Jul 2022</t>
  </si>
  <si>
    <t xml:space="preserve">UW Madison</t>
  </si>
  <si>
    <t xml:space="preserve">Predict E-Commerce User Behaviour </t>
  </si>
  <si>
    <t xml:space="preserve">https://www.kaggle.com/competitions/otto-recommender-system?utm_source=mlcontests</t>
  </si>
  <si>
    <t xml:space="preserve">24 Jan 2023</t>
  </si>
  <si>
    <t xml:space="preserve">Otto</t>
  </si>
  <si>
    <t xml:space="preserve">Predict Women's NCAA 2022</t>
  </si>
  <si>
    <t xml:space="preserve">https://www.kaggle.com/competitions/womens-march-mania-2022</t>
  </si>
  <si>
    <t xml:space="preserve">18 Mar 2022</t>
  </si>
  <si>
    <t xml:space="preserve">Predict Men's NCAA 2022</t>
  </si>
  <si>
    <t xml:space="preserve">https://www.kaggle.com/competitions/mens-march-mania-2022</t>
  </si>
  <si>
    <t xml:space="preserve">17 Mar 2022</t>
  </si>
  <si>
    <t xml:space="preserve">Image Pose Matching</t>
  </si>
  <si>
    <t xml:space="preserve">https://www.kaggle.com/competitions/image-matching-challenge-2022</t>
  </si>
  <si>
    <t xml:space="preserve">4 Apr 2022</t>
  </si>
  <si>
    <t xml:space="preserve">2 Jun 2022</t>
  </si>
  <si>
    <t xml:space="preserve">Detect Continuous Gravitational Waves</t>
  </si>
  <si>
    <t xml:space="preserve">https://www.kaggle.com/competitions/g2net-detecting-continuous-gravitational-waves?utm_medium=mlcontests&amp;utm_source=mlcontests</t>
  </si>
  <si>
    <t xml:space="preserve">4 Oct 2022</t>
  </si>
  <si>
    <t xml:space="preserve">27 Dec 2022</t>
  </si>
  <si>
    <t xml:space="preserve">EGO</t>
  </si>
  <si>
    <t xml:space="preserve">NFL Big Data Bowl 2023</t>
  </si>
  <si>
    <t xml:space="preserve">https://kaggle.com/competitions/nfl-big-data-bowl-2023?utm_medium=mlcontests&amp;utm_source=mlcontests</t>
  </si>
  <si>
    <t xml:space="preserve">9 Jan 2023</t>
  </si>
  <si>
    <t xml:space="preserve">Predict Enzyme Stability</t>
  </si>
  <si>
    <t xml:space="preserve">https://www.kaggle.com/competitions/novozymes-enzyme-stability-prediction?utm_medium=mlcontests&amp;utm_source=mlcontests</t>
  </si>
  <si>
    <t xml:space="preserve">21 Sep 2022</t>
  </si>
  <si>
    <t xml:space="preserve">Novozymes</t>
  </si>
  <si>
    <t xml:space="preserve">Evaluate English-Language-Learner Essays</t>
  </si>
  <si>
    <t xml:space="preserve">https://www.kaggle.com/competitions/feedback-prize-english-language-learning?utm_medium=mlcontests&amp;utm_source=mlcontests</t>
  </si>
  <si>
    <t xml:space="preserve">30 Aug 2022</t>
  </si>
  <si>
    <t xml:space="preserve">22 Nov 2022</t>
  </si>
  <si>
    <t xml:space="preserve">29 Nov 2022</t>
  </si>
  <si>
    <t xml:space="preserve">Vanderbilt University &amp; Others</t>
  </si>
  <si>
    <t xml:space="preserve">2022 Kaggle ML&amp;DS Survey</t>
  </si>
  <si>
    <t xml:space="preserve">https://www.kaggle.com/c/kaggle-survey-2022?utm_medium=mlcontests&amp;utm_source=mlcontests</t>
  </si>
  <si>
    <t xml:space="preserve">27 Nov 2022</t>
  </si>
  <si>
    <t xml:space="preserve">https://www.kaggle.com/competitions/open-problems-multimodal?utm_source=mlcontests&amp;utm_campaign=comp-openproblems-2022</t>
  </si>
  <si>
    <t xml:space="preserve">https://openproblems.bio/neurips_2022/</t>
  </si>
  <si>
    <t xml:space="preserve">8 Nov 2022</t>
  </si>
  <si>
    <t xml:space="preserve">Cellarity, CZI, others</t>
  </si>
  <si>
    <t xml:space="preserve">Analyse Horse Racing Performance</t>
  </si>
  <si>
    <t xml:space="preserve">https://www.kaggle.com/competitions/big-data-derby-2022?utm_medium=mlcontests&amp;utm_source=mlcontests</t>
  </si>
  <si>
    <t xml:space="preserve">10 Nov 2022</t>
  </si>
  <si>
    <t xml:space="preserve">NYTHA/NYRA</t>
  </si>
  <si>
    <t xml:space="preserve">Segment Functional Tissue Units in Organ Biopsies</t>
  </si>
  <si>
    <t xml:space="preserve">https://www.kaggle.com/competitions/hubmap-organ-segmentation?utm_medium=mlcontests&amp;utm_source=mlcontests</t>
  </si>
  <si>
    <t xml:space="preserve">12 Sep 2022</t>
  </si>
  <si>
    <t xml:space="preserve">HuBMAP, HPA</t>
  </si>
  <si>
    <t xml:space="preserve">DEFCON30 Capture the Flag Challenges</t>
  </si>
  <si>
    <t xml:space="preserve">https://www.kaggle.com/competitions/ai-village-ctf?utm_medium=mlcontests&amp;utm_source=mlcontests</t>
  </si>
  <si>
    <t xml:space="preserve">Create Universal Image Representations</t>
  </si>
  <si>
    <t xml:space="preserve">https://www.kaggle.com/competitions/google-universal-image-embedding?utm_medium=mlcontests&amp;utm_source=mlcontests</t>
  </si>
  <si>
    <t xml:space="preserve">Identify Soccer Plays from Video Footage</t>
  </si>
  <si>
    <t xml:space="preserve">https://www.kaggle.com/c/dfl-bundesliga-data-shootout?utm_medium=mlcontests&amp;utm_source=mlcontests&amp;utm_campaign=comp-dfl-2022</t>
  </si>
  <si>
    <t xml:space="preserve">13 Oct 2022</t>
  </si>
  <si>
    <t xml:space="preserve">DFL</t>
  </si>
  <si>
    <t xml:space="preserve">Identify Cervical Fractures from Scans</t>
  </si>
  <si>
    <t xml:space="preserve">https://www.kaggle.com/competitions/rsna-2022-cervical-spine-fracture-detection?utm_medium=mlcontests&amp;utm_source=mlcontests</t>
  </si>
  <si>
    <t xml:space="preserve">27 Oct 2022</t>
  </si>
  <si>
    <t xml:space="preserve">Credit Card Default Prediction</t>
  </si>
  <si>
    <t xml:space="preserve">https://www.kaggle.com/competitions/amex-default-prediction</t>
  </si>
  <si>
    <t xml:space="preserve">24 Aug 2022</t>
  </si>
  <si>
    <t xml:space="preserve">American Express</t>
  </si>
  <si>
    <t xml:space="preserve">High Precision Smartphone Localisation</t>
  </si>
  <si>
    <t xml:space="preserve">https://www.kaggle.com/competitions/smartphone-decimeter-2022</t>
  </si>
  <si>
    <t xml:space="preserve">29 Jul 2022</t>
  </si>
  <si>
    <t xml:space="preserve">AI4Code: Match Code with Comments</t>
  </si>
  <si>
    <t xml:space="preserve">https://www.kaggle.com/competitions/AI4Code</t>
  </si>
  <si>
    <t xml:space="preserve">4 Aug 2022</t>
  </si>
  <si>
    <t xml:space="preserve">Foursquare Location Matching</t>
  </si>
  <si>
    <t xml:space="preserve">https://www.kaggle.com/competitions/foursquare-location-matching</t>
  </si>
  <si>
    <t xml:space="preserve">Foursquare</t>
  </si>
  <si>
    <t xml:space="preserve">Predict Tokyo Stock Market Prices</t>
  </si>
  <si>
    <t xml:space="preserve">https://www.kaggle.com/competitions/jpx-tokyo-stock-exchange-prediction</t>
  </si>
  <si>
    <t xml:space="preserve">$63,000</t>
  </si>
  <si>
    <t xml:space="preserve">Japanese Exchange Group</t>
  </si>
  <si>
    <t xml:space="preserve">Patent Phrase Similarity Matching</t>
  </si>
  <si>
    <t xml:space="preserve">https://www.kaggle.com/competitions/us-patent-phrase-to-phrase-matching?source=mlcontests</t>
  </si>
  <si>
    <t xml:space="preserve">20 Jun 2022</t>
  </si>
  <si>
    <t xml:space="preserve">Satsyil</t>
  </si>
  <si>
    <t xml:space="preserve">BirdCLEF 2022</t>
  </si>
  <si>
    <t xml:space="preserve">https://www.kaggle.com/c/birdclef-2022/overview?source=mlcontests</t>
  </si>
  <si>
    <t xml:space="preserve">24 May 2022</t>
  </si>
  <si>
    <t xml:space="preserve">H&amp;M Personalized Fashion Recommendations</t>
  </si>
  <si>
    <t xml:space="preserve">https://www.kaggle.com/c/h-and-m-personalized-fashion-recommendations?utm_source=mlcontests</t>
  </si>
  <si>
    <t xml:space="preserve">9 May 2022</t>
  </si>
  <si>
    <t xml:space="preserve">H&amp;M</t>
  </si>
  <si>
    <t xml:space="preserve">Happywhale - Whale and Dolphin Identification</t>
  </si>
  <si>
    <t xml:space="preserve">https://www.kaggle.com/c/happy-whale-and-dolphin?source=mlcontests</t>
  </si>
  <si>
    <t xml:space="preserve">Happywhale</t>
  </si>
  <si>
    <t xml:space="preserve">Deepfake Detection Challenge</t>
  </si>
  <si>
    <t xml:space="preserve">https://www.kaggle.com/c/deepfake-detection-challenge/</t>
  </si>
  <si>
    <t xml:space="preserve">📷 Video Labeling</t>
  </si>
  <si>
    <t xml:space="preserve">31 Mar 2020</t>
  </si>
  <si>
    <t xml:space="preserve">$1,000,000</t>
  </si>
  <si>
    <t xml:space="preserve">AWS/Facebook/Microsoft/Partnership on AI</t>
  </si>
  <si>
    <t xml:space="preserve">March Madness: Analytics</t>
  </si>
  <si>
    <t xml:space="preserve">https://www.kaggle.com/c/march-madness-analytics-2020</t>
  </si>
  <si>
    <t xml:space="preserve">30 Apr 2020</t>
  </si>
  <si>
    <t xml:space="preserve">Google Cloud</t>
  </si>
  <si>
    <t xml:space="preserve">Calculate Emissions Factors For Electricity</t>
  </si>
  <si>
    <t xml:space="preserve">https://www.kaggle.com/c/ds4g-environmental-insights-explorer?utm_medium=social&amp;utm_source=intercom&amp;utm_campaign=eie-analytics-competition</t>
  </si>
  <si>
    <t xml:space="preserve">24 Mar 2020</t>
  </si>
  <si>
    <t xml:space="preserve">Abstraction and Reasoning Challenge</t>
  </si>
  <si>
    <t xml:space="preserve">https://www.kaggle.com/c/abstraction-and-reasoning-challenge</t>
  </si>
  <si>
    <t xml:space="preserve">27 May 2020</t>
  </si>
  <si>
    <t xml:space="preserve">François Chollet</t>
  </si>
  <si>
    <t xml:space="preserve">Classify Disaster Tweets</t>
  </si>
  <si>
    <t xml:space="preserve">https://www.kaggle.com/c/nlp-getting-started</t>
  </si>
  <si>
    <t xml:space="preserve">23 Mar 2020</t>
  </si>
  <si>
    <t xml:space="preserve">M5 Forecasting - Accuracy</t>
  </si>
  <si>
    <t xml:space="preserve">https://www.kaggle.com/c/m5-forecasting-accuracy</t>
  </si>
  <si>
    <t xml:space="preserve">23 Jun 2020</t>
  </si>
  <si>
    <t xml:space="preserve">University of Nicosia</t>
  </si>
  <si>
    <t xml:space="preserve">M5 Forecasting - Uncertainty</t>
  </si>
  <si>
    <t xml:space="preserve">https://www.kaggle.com/c/m5-forecasting-uncertainty</t>
  </si>
  <si>
    <t xml:space="preserve">Ion Switching</t>
  </si>
  <si>
    <t xml:space="preserve">https://www.kaggle.com/c/liverpool-ion-switching</t>
  </si>
  <si>
    <t xml:space="preserve">University of Liverpool</t>
  </si>
  <si>
    <t xml:space="preserve">COVID-19 Open Research Dataset Challenge</t>
  </si>
  <si>
    <t xml:space="preserve">https://www.kaggle.com/allen-institute-for-ai/CORD-19-research-challenge/tasks</t>
  </si>
  <si>
    <t xml:space="preserve">16 Apr 2020</t>
  </si>
  <si>
    <t xml:space="preserve">Toxic Comment Classification</t>
  </si>
  <si>
    <t xml:space="preserve">https://www.kaggle.com/c/jigsaw-multilingual-toxic-comment-classification/overview/prizes</t>
  </si>
  <si>
    <t xml:space="preserve">22 Jun 2020</t>
  </si>
  <si>
    <t xml:space="preserve">Jigsaw/Google Cloud</t>
  </si>
  <si>
    <t xml:space="preserve">Tweet Sentiment Extraction</t>
  </si>
  <si>
    <t xml:space="preserve">https://www.kaggle.com/c/tweet-sentiment-extraction</t>
  </si>
  <si>
    <t xml:space="preserve">2 Jun 2020</t>
  </si>
  <si>
    <t xml:space="preserve">Prostate Cancer Grade Assessment</t>
  </si>
  <si>
    <t xml:space="preserve">https://www.kaggle.com/c/prostate-cancer-grade-assessment</t>
  </si>
  <si>
    <t xml:space="preserve">22 Jul 2020</t>
  </si>
  <si>
    <t xml:space="preserve">ContextVision/Ibex/Google</t>
  </si>
  <si>
    <t xml:space="preserve">Neuroimaging</t>
  </si>
  <si>
    <t xml:space="preserve">https://www.kaggle.com/c/trends-assessment-prediction</t>
  </si>
  <si>
    <t xml:space="preserve">29 Jun 2020</t>
  </si>
  <si>
    <t xml:space="preserve">TReNDS</t>
  </si>
  <si>
    <t xml:space="preserve">Detect Secret Data in Images</t>
  </si>
  <si>
    <t xml:space="preserve">https://www.kaggle.com/c/alaska2-image-steganalysis</t>
  </si>
  <si>
    <t xml:space="preserve">20 Jul 2020</t>
  </si>
  <si>
    <t xml:space="preserve">IEEE WIFS</t>
  </si>
  <si>
    <t xml:space="preserve">Global Wheat Detection</t>
  </si>
  <si>
    <t xml:space="preserve">https://www.kaggle.com/c/global-wheat-detection</t>
  </si>
  <si>
    <t xml:space="preserve">4 Aug 2020</t>
  </si>
  <si>
    <t xml:space="preserve">Global Instintute for Food Security</t>
  </si>
  <si>
    <t xml:space="preserve">Melanoma Classification</t>
  </si>
  <si>
    <t xml:space="preserve">https://www.kaggle.com/c/siim-isic-melanoma-classification</t>
  </si>
  <si>
    <t xml:space="preserve">17 Aug 2020</t>
  </si>
  <si>
    <t xml:space="preserve">SIIM/ISIC</t>
  </si>
  <si>
    <t xml:space="preserve">Halite 4</t>
  </si>
  <si>
    <t xml:space="preserve">https://www.kaggle.com/c/halite</t>
  </si>
  <si>
    <t xml:space="preserve">Two Sigma</t>
  </si>
  <si>
    <t xml:space="preserve">Cornell Birdcall Identification</t>
  </si>
  <si>
    <t xml:space="preserve">https://www.kaggle.com/c/birdsong-recognition</t>
  </si>
  <si>
    <t xml:space="preserve">Cornell</t>
  </si>
  <si>
    <t xml:space="preserve">Predict Lung Function Decline</t>
  </si>
  <si>
    <t xml:space="preserve">https://www.kaggle.com/c/osic-pulmonary-fibrosis-progression</t>
  </si>
  <si>
    <t xml:space="preserve">6 Oct 2020</t>
  </si>
  <si>
    <t xml:space="preserve">OSIC</t>
  </si>
  <si>
    <t xml:space="preserve">Google Landmark Retrieval 2020</t>
  </si>
  <si>
    <t xml:space="preserve">https://www.kaggle.com/c/landmark-retrieval-2020/</t>
  </si>
  <si>
    <t xml:space="preserve">Classify Drugs Based on Biological Activity</t>
  </si>
  <si>
    <t xml:space="preserve">https://www.kaggle.com/c/lish-moa</t>
  </si>
  <si>
    <t xml:space="preserve">23 Nov 2020</t>
  </si>
  <si>
    <t xml:space="preserve">MIT/Harvard/LISH</t>
  </si>
  <si>
    <t xml:space="preserve">Autonomous Vehicle Motion Prediction</t>
  </si>
  <si>
    <t xml:space="preserve">https://www.kaggle.com/c/lyft-motion-prediction-autonomous-vehicles</t>
  </si>
  <si>
    <t xml:space="preserve">25 Nov 2020</t>
  </si>
  <si>
    <t xml:space="preserve">Lyft</t>
  </si>
  <si>
    <t xml:space="preserve">Pulmonary Embolism Detection</t>
  </si>
  <si>
    <t xml:space="preserve">https://www.kaggle.com/c/rsna-str-pulmonary-embolism-detection</t>
  </si>
  <si>
    <t xml:space="preserve">27 Oct 2020</t>
  </si>
  <si>
    <t xml:space="preserve">Train Agents to Play Soccer</t>
  </si>
  <si>
    <t xml:space="preserve">https://www.kaggle.com/c/google-footballs</t>
  </si>
  <si>
    <t xml:space="preserve">30 Nov 2020</t>
  </si>
  <si>
    <t xml:space="preserve">Google/Manchester City F.C.</t>
  </si>
  <si>
    <t xml:space="preserve">NFL Big Data Bowl 2021</t>
  </si>
  <si>
    <t xml:space="preserve">https://www.kaggle.com/c/nfl-big-data-bowl-2021/overview/submission-instructions</t>
  </si>
  <si>
    <t xml:space="preserve">7 Jan 2021</t>
  </si>
  <si>
    <t xml:space="preserve">Develop Environmental and Social KPIs</t>
  </si>
  <si>
    <t xml:space="preserve">https://www.kaggle.com/c/cdp-unlocking-climate-solutions/overview/timeline</t>
  </si>
  <si>
    <t xml:space="preserve">2 Dec 2020</t>
  </si>
  <si>
    <t xml:space="preserve">$91,000</t>
  </si>
  <si>
    <t xml:space="preserve">CDP</t>
  </si>
  <si>
    <t xml:space="preserve">Predict Student Learning Progress</t>
  </si>
  <si>
    <t xml:space="preserve">https://www.kaggle.com/c/riiid-test-answer-prediction</t>
  </si>
  <si>
    <t xml:space="preserve">Riiid Labs</t>
  </si>
  <si>
    <t xml:space="preserve">HuBMAP: Identify Blocks of Cells in Kidney Images</t>
  </si>
  <si>
    <t xml:space="preserve">https://www.kaggle.com/c/hubmap-kidney-segmentation</t>
  </si>
  <si>
    <t xml:space="preserve">1 Feb 2021</t>
  </si>
  <si>
    <t xml:space="preserve">Identify Animal Species in Audio Fragments</t>
  </si>
  <si>
    <t xml:space="preserve">https://www.kaggle.com/c/rfcx-species-audio-detection</t>
  </si>
  <si>
    <t xml:space="preserve">17 Feb 2021</t>
  </si>
  <si>
    <t xml:space="preserve">Rainforest Connection</t>
  </si>
  <si>
    <t xml:space="preserve">Cassava Leaf Disease Classification</t>
  </si>
  <si>
    <t xml:space="preserve">https://www.kaggle.com/c/cassava-leaf-disease-classification</t>
  </si>
  <si>
    <t xml:space="preserve">18 Feb 2021</t>
  </si>
  <si>
    <t xml:space="preserve">$18,000</t>
  </si>
  <si>
    <t xml:space="preserve">Stock Market Prediction</t>
  </si>
  <si>
    <t xml:space="preserve">https://www.kaggle.com/c/jane-street-market-prediction/</t>
  </si>
  <si>
    <t xml:space="preserve">22 Feb 2021</t>
  </si>
  <si>
    <t xml:space="preserve">Jane Street</t>
  </si>
  <si>
    <t xml:space="preserve">2020 Kaggle ML&amp;DS Survey</t>
  </si>
  <si>
    <t xml:space="preserve">https://www.kaggle.com/c/kaggle-survey-2020</t>
  </si>
  <si>
    <t xml:space="preserve">6 Jan 2021</t>
  </si>
  <si>
    <t xml:space="preserve">NFL Impact Detection</t>
  </si>
  <si>
    <t xml:space="preserve">https://www.kaggle.com/c/nfl-impact-detection</t>
  </si>
  <si>
    <t xml:space="preserve">4 Jan 2021</t>
  </si>
  <si>
    <t xml:space="preserve">$75,000</t>
  </si>
  <si>
    <t xml:space="preserve">NFL/AWS</t>
  </si>
  <si>
    <t xml:space="preserve">Predict Water Levels</t>
  </si>
  <si>
    <t xml:space="preserve">Acea Group</t>
  </si>
  <si>
    <t xml:space="preserve">Chest X-Ray Catheder Classification</t>
  </si>
  <si>
    <t xml:space="preserve">https://kaggle.com/c/ranzcr-clip-catheter-line-classification</t>
  </si>
  <si>
    <t xml:space="preserve">15 Mar 2021</t>
  </si>
  <si>
    <t xml:space="preserve">RANZCR</t>
  </si>
  <si>
    <t xml:space="preserve">Chest X-Ray Abnormalities Detection</t>
  </si>
  <si>
    <t xml:space="preserve">https://www.kaggle.com/c/vinbigdata-chest-xray-abnormalities-detection?utm_source=mlcontests&amp;utm_campaign=mlcontests</t>
  </si>
  <si>
    <t xml:space="preserve">30 Mar 2021</t>
  </si>
  <si>
    <t xml:space="preserve">VinBigData</t>
  </si>
  <si>
    <t xml:space="preserve">Classify Individual Cells</t>
  </si>
  <si>
    <t xml:space="preserve">https://www.kaggle.com/c/hpa-single-cell-image-classification</t>
  </si>
  <si>
    <t xml:space="preserve">27 Apr 2021</t>
  </si>
  <si>
    <t xml:space="preserve">Locate Smartphones from WiFi Signals</t>
  </si>
  <si>
    <t xml:space="preserve">https://www.kaggle.com/c/indoor-location-navigation?utm_source=mlcontests&amp;utm_campaign=mlcontests</t>
  </si>
  <si>
    <t xml:space="preserve">17 May 2021</t>
  </si>
  <si>
    <t xml:space="preserve">Recognise Molecular Structures from Images</t>
  </si>
  <si>
    <t xml:space="preserve">https://www.kaggle.com/c/bms-molecular-translation?utm_source=mlcontests&amp;utm_campaign=mlcontests</t>
  </si>
  <si>
    <t xml:space="preserve">2 Jun 2021</t>
  </si>
  <si>
    <t xml:space="preserve">Bristol-Myers Squibb</t>
  </si>
  <si>
    <t xml:space="preserve">Recognise Identical Products</t>
  </si>
  <si>
    <t xml:space="preserve">https://www.kaggle.com/c/shopee-product-matching</t>
  </si>
  <si>
    <t xml:space="preserve">10 May 2021</t>
  </si>
  <si>
    <t xml:space="preserve">Shopee</t>
  </si>
  <si>
    <t xml:space="preserve">Identify Datasets in Publications</t>
  </si>
  <si>
    <t xml:space="preserve">https://www.kaggle.com/c/coleridgeinitiative-show-us-the-data?utm_source=mlcontests&amp;utm_campaign=mlcontests</t>
  </si>
  <si>
    <t xml:space="preserve">22 Jun 2021</t>
  </si>
  <si>
    <t xml:space="preserve">$90,000</t>
  </si>
  <si>
    <t xml:space="preserve">Coleridge Initiative</t>
  </si>
  <si>
    <t xml:space="preserve">Birdcall Identification</t>
  </si>
  <si>
    <t xml:space="preserve">https://www.kaggle.com/c/birdclef-2021?utm_source=mlcontests&amp;utm_campaign=mlcontests</t>
  </si>
  <si>
    <t xml:space="preserve">31 May 2021</t>
  </si>
  <si>
    <t xml:space="preserve">Identify Text Reading Level</t>
  </si>
  <si>
    <t xml:space="preserve">https://www.kaggle.com/c/commonlitreadabilityprize?utm_source=mlcontests&amp;utm_campaign=mlcontests</t>
  </si>
  <si>
    <t xml:space="preserve">2 Aug 2021</t>
  </si>
  <si>
    <t xml:space="preserve">GSU/Schmidt Futures/CommonLit</t>
  </si>
  <si>
    <t xml:space="preserve">E.T. Signal Search</t>
  </si>
  <si>
    <t xml:space="preserve">https://www.kaggle.com/c/seti-breakthrough-listen?utm_source=mlcontests&amp;utm_campaign=mlcontests</t>
  </si>
  <si>
    <t xml:space="preserve">28 Jul 2021</t>
  </si>
  <si>
    <t xml:space="preserve">Berkeley SETI</t>
  </si>
  <si>
    <t xml:space="preserve">Improve Mobile GPS Positioning</t>
  </si>
  <si>
    <t xml:space="preserve">https://www.kaggle.com/c/google-smartphone-decimeter-challenge?utm_source=mlcontests&amp;utm_campaign=mlcontests</t>
  </si>
  <si>
    <t xml:space="preserve">4 Aug 2021</t>
  </si>
  <si>
    <t xml:space="preserve">Identify COVID-19 Abnormalities on Chest Radiographs</t>
  </si>
  <si>
    <t xml:space="preserve">https://www.kaggle.com/c/siim-covid19-detection?utm_source=mlcontests&amp;utm_campaign=mlcontests</t>
  </si>
  <si>
    <t xml:space="preserve">9 Aug 2021</t>
  </si>
  <si>
    <t xml:space="preserve">FISABIO/RSNA</t>
  </si>
  <si>
    <t xml:space="preserve">Predict Baseball Player Digital Engagement</t>
  </si>
  <si>
    <t xml:space="preserve">https://www.kaggle.com/c/mlb-player-digital-engagement-forecasting?utm_source=mlcontests&amp;utm_campaign=mlcontests</t>
  </si>
  <si>
    <t xml:space="preserve">MLB/Google Cloud</t>
  </si>
  <si>
    <t xml:space="preserve">Predict Stock Market Volatility</t>
  </si>
  <si>
    <t xml:space="preserve">https://www.kaggle.com/c/optiver-realized-volatility-prediction/overview/description?utm_source=mlcontests&amp;utm_campaign=mlcontests</t>
  </si>
  <si>
    <t xml:space="preserve">27 Sep 2021</t>
  </si>
  <si>
    <t xml:space="preserve">Detect Gravitational Waves</t>
  </si>
  <si>
    <t xml:space="preserve">https://www.kaggle.com/c/g2net-gravitational-wave-detection/overview/description?utm_source=mlcontests&amp;utm_campaign=mlcontests</t>
  </si>
  <si>
    <t xml:space="preserve">MRI Brain Tumor Classification</t>
  </si>
  <si>
    <t xml:space="preserve">https://kaggle.com/c/rsna-miccai-brain-tumor-radiogenomic-classification?utm_source=mlcontests&amp;utm_campaign=mlcontests</t>
  </si>
  <si>
    <t xml:space="preserve">8 Oct 2021</t>
  </si>
  <si>
    <t xml:space="preserve">RSNA/MICCAI</t>
  </si>
  <si>
    <t xml:space="preserve">Analyse COVID-19 Impact on Student Learning</t>
  </si>
  <si>
    <t xml:space="preserve">https://www.kaggle.com/c/learnplatform-covid19-impact-on-digital-learning?utm_source=mlcontests&amp;utm_campaign=mlcontests</t>
  </si>
  <si>
    <t xml:space="preserve">LearnPlatform</t>
  </si>
  <si>
    <t xml:space="preserve">Hindi/Tamil Question Answering</t>
  </si>
  <si>
    <t xml:space="preserve">https://www.kaggle.com/c/chaii-hindi-and-tamil-question-answering?utm_medium=mlcontests&amp;utm_source=mlcontests&amp;utm_campaign=mlcontests</t>
  </si>
  <si>
    <t xml:space="preserve">NFL: Helmet Tracking</t>
  </si>
  <si>
    <t xml:space="preserve">https://www.kaggle.com/c/nfl-health-and-safety-helmet-assignment?utm_medium=mlcontests&amp;utm_source=mlcontests&amp;utm_campaign=mlcontests</t>
  </si>
  <si>
    <t xml:space="preserve">2 Nov 2021</t>
  </si>
  <si>
    <t xml:space="preserve">https://www.kaggle.com/c/lux-ai-2021?utm_medium=mlcontests&amp;utm_source=mlcontests&amp;utm_campaign=mlcontests</t>
  </si>
  <si>
    <t xml:space="preserve">6 Dec 2021</t>
  </si>
  <si>
    <t xml:space="preserve">QuantCo, J Ventures, QAlmera</t>
  </si>
  <si>
    <t xml:space="preserve">NFL Big Data Bowl 2022</t>
  </si>
  <si>
    <t xml:space="preserve">https://www.kaggle.com/c/nfl-big-data-bowl-2022?utm_medium=mlcontests&amp;utm_source=mlcontests&amp;utm_campaign=mlcontests</t>
  </si>
  <si>
    <t xml:space="preserve">6 Jan 2022</t>
  </si>
  <si>
    <t xml:space="preserve">Crypto Price Forecasting</t>
  </si>
  <si>
    <t xml:space="preserve">https://www.kaggle.com/c/g-research-crypto-forecasting?utm_medium=mlcontests&amp;utm_source=mlcontests&amp;utm_campaign=mlcontests</t>
  </si>
  <si>
    <t xml:space="preserve">1 Feb 2022</t>
  </si>
  <si>
    <t xml:space="preserve">G-Research</t>
  </si>
  <si>
    <t xml:space="preserve">2021 Kaggle Data Science Survey</t>
  </si>
  <si>
    <t xml:space="preserve">https://www.kaggle.com/c/kaggle-survey-2021</t>
  </si>
  <si>
    <t xml:space="preserve">28 Nov 2021</t>
  </si>
  <si>
    <t xml:space="preserve">Rank Toxicity of Comments</t>
  </si>
  <si>
    <t xml:space="preserve">https://www.kaggle.com/c/jigsaw-toxic-severity-rating?utm_medium=organic&amp;utm_source=mlcontests&amp;utm_campaign=comp-jigsaw-2021</t>
  </si>
  <si>
    <t xml:space="preserve">31 Jan 2022</t>
  </si>
  <si>
    <t xml:space="preserve">Jigsaw/Conversation AI</t>
  </si>
  <si>
    <t xml:space="preserve">Optimize Christmas TV Programming</t>
  </si>
  <si>
    <t xml:space="preserve">https://www.kaggle.com/competitions/santa-2021</t>
  </si>
  <si>
    <t xml:space="preserve">11 Jan 2022</t>
  </si>
  <si>
    <t xml:space="preserve">Identify Starfish in Coral Reef Videos</t>
  </si>
  <si>
    <t xml:space="preserve">https://www.kaggle.com/c/tensorflow-great-barrier-reef?utm_medium=organic&amp;utm_source=mlcontests&amp;utm_campaign=comp-tensorflow-2021</t>
  </si>
  <si>
    <t xml:space="preserve">14 Feb 2022</t>
  </si>
  <si>
    <t xml:space="preserve">Google/CSIRO</t>
  </si>
  <si>
    <t xml:space="preserve">Classify Arguments in Student Writing</t>
  </si>
  <si>
    <t xml:space="preserve">https://www.kaggle.com/c/feedback-prize-2021?utm_medium=organic&amp;utm_source=mlcontests&amp;utm_campaign=comp-feedback-2021</t>
  </si>
  <si>
    <t xml:space="preserve">$160,000</t>
  </si>
  <si>
    <t xml:space="preserve">Gates Foundation/Schmidt Futures/Chan Zuckerberg Initiative</t>
  </si>
  <si>
    <t xml:space="preserve">Exun ExML 2022</t>
  </si>
  <si>
    <t xml:space="preserve">https://reg.exun.co/invite/events/10</t>
  </si>
  <si>
    <t xml:space="preserve">Plaksha University, CodeChef</t>
  </si>
  <si>
    <t xml:space="preserve">Predict Investment Returns</t>
  </si>
  <si>
    <t xml:space="preserve">https://www.kaggle.com/c/ubiquant-market-prediction?utm_medium=organic&amp;utm_source=mlcontests&amp;utm_campaign=comp-ubiquant-2022</t>
  </si>
  <si>
    <t xml:space="preserve">11 Apr 2022</t>
  </si>
  <si>
    <t xml:space="preserve">Ubiquant</t>
  </si>
  <si>
    <t xml:space="preserve">Score Clinical Patient Notes</t>
  </si>
  <si>
    <t xml:space="preserve">https://www.kaggle.com/c/nbme-score-clinical-patient-notes?source=mlcontests</t>
  </si>
  <si>
    <t xml:space="preserve">3 May 2022</t>
  </si>
  <si>
    <t xml:space="preserve">NBME</t>
  </si>
  <si>
    <t xml:space="preserve">UltraMNIST: Extract Sum of Digits from Images</t>
  </si>
  <si>
    <t xml:space="preserve">https://www.kaggle.com/c/ultra-mnist?source=mlcontests</t>
  </si>
  <si>
    <t xml:space="preserve">10 Apr 2022</t>
  </si>
  <si>
    <t xml:space="preserve">NVidia</t>
  </si>
  <si>
    <t xml:space="preserve">Predict Effective Arguments</t>
  </si>
  <si>
    <t xml:space="preserve">https://www.kaggle.com/competitions/feedback-prize-effectiveness</t>
  </si>
  <si>
    <t xml:space="preserve">23 Aug 2022</t>
  </si>
  <si>
    <t xml:space="preserve">Georgia State University</t>
  </si>
  <si>
    <t xml:space="preserve">Classify Blood Clots in Stroke Images</t>
  </si>
  <si>
    <t xml:space="preserve">https://www.kaggle.com/c/mayo-clinic-strip-ai</t>
  </si>
  <si>
    <t xml:space="preserve">5 Oct 2022</t>
  </si>
  <si>
    <t xml:space="preserve">Mayo Clinic</t>
  </si>
  <si>
    <t xml:space="preserve">Predicting Escalations in Customer Support</t>
  </si>
  <si>
    <t xml:space="preserve">https://knowledgepit.ml/predicting-escalations-in-customer-support/</t>
  </si>
  <si>
    <t xml:space="preserve">KnowledgePit</t>
  </si>
  <si>
    <t xml:space="preserve">Information Builders/QED</t>
  </si>
  <si>
    <t xml:space="preserve">Network Device Workload Prediction</t>
  </si>
  <si>
    <t xml:space="preserve">https://knowledgepit.ml/fedcsis20-challenge/</t>
  </si>
  <si>
    <t xml:space="preserve">8 Jun 2020</t>
  </si>
  <si>
    <t xml:space="preserve">EMCA/PTI</t>
  </si>
  <si>
    <t xml:space="preserve">Essay Competition - Abstraction &amp; Reasoning</t>
  </si>
  <si>
    <t xml:space="preserve">https://lab42.global/essay-arc?ref=mlcontests</t>
  </si>
  <si>
    <t xml:space="preserve">✍️ Writing</t>
  </si>
  <si>
    <t xml:space="preserve">Lab42</t>
  </si>
  <si>
    <t xml:space="preserve">Essay Competition - Virtual Worlds</t>
  </si>
  <si>
    <t xml:space="preserve">https://lab42.global/essay-virtualworlds?ref=mlcontests</t>
  </si>
  <si>
    <t xml:space="preserve">$1,750</t>
  </si>
  <si>
    <t xml:space="preserve">ARCathon 2023 - Abstraction &amp; Reasoning</t>
  </si>
  <si>
    <t xml:space="preserve">https://lab42.global/arcathon/?ref=mlcontests</t>
  </si>
  <si>
    <t xml:space="preserve">$74,000</t>
  </si>
  <si>
    <t xml:space="preserve">ARCathon: Abstraction &amp; Reasoning Corpus</t>
  </si>
  <si>
    <t xml:space="preserve">https://lab42.global/arcathon/</t>
  </si>
  <si>
    <t xml:space="preserve">31 Dec 2022</t>
  </si>
  <si>
    <t xml:space="preserve">Lab42 Essay Competition</t>
  </si>
  <si>
    <t xml:space="preserve">https://lab42.global/essay/</t>
  </si>
  <si>
    <t xml:space="preserve">MadeWithML Data Science Incubator</t>
  </si>
  <si>
    <t xml:space="preserve">https://madewithml.com/programs/ds-incubator-summer-2020/</t>
  </si>
  <si>
    <t xml:space="preserve">madewithml</t>
  </si>
  <si>
    <t xml:space="preserve">Made with ML, Hugging Face, W&amp;B</t>
  </si>
  <si>
    <t xml:space="preserve">AI Progress Essay Contest</t>
  </si>
  <si>
    <t xml:space="preserve">https://www.metaculus.com/project/ai-fortified-essay-contest/?source=mlcontests</t>
  </si>
  <si>
    <t xml:space="preserve">16 Apr 2022</t>
  </si>
  <si>
    <t xml:space="preserve">Metaculus</t>
  </si>
  <si>
    <t xml:space="preserve">Battlecode 2024</t>
  </si>
  <si>
    <t xml:space="preserve">https://battlecode.org/?ref=mlcontests</t>
  </si>
  <si>
    <t xml:space="preserve">27 Jan 2024</t>
  </si>
  <si>
    <t xml:space="preserve">3 Feb 2024</t>
  </si>
  <si>
    <t xml:space="preserve">HRT, Jane Street, Spark, Others</t>
  </si>
  <si>
    <t xml:space="preserve">Battlecode 2023</t>
  </si>
  <si>
    <t xml:space="preserve">https://battlecode.org/</t>
  </si>
  <si>
    <t xml:space="preserve">5 Feb 2023</t>
  </si>
  <si>
    <t xml:space="preserve">Regression Games, Argus Labs, Others</t>
  </si>
  <si>
    <t xml:space="preserve">Battlecode 2022</t>
  </si>
  <si>
    <t xml:space="preserve">29 Jan 2022</t>
  </si>
  <si>
    <t xml:space="preserve">Jump, Symbotic and others</t>
  </si>
  <si>
    <t xml:space="preserve">M6 Financial Forecasting Competition</t>
  </si>
  <si>
    <t xml:space="preserve">https://mofc.unic.ac.cy/the-m6-competition/</t>
  </si>
  <si>
    <t xml:space="preserve">8 Jan 2023</t>
  </si>
  <si>
    <t xml:space="preserve">$300,000</t>
  </si>
  <si>
    <t xml:space="preserve">MOFC</t>
  </si>
  <si>
    <t xml:space="preserve">Google, Meta, JP Morgan, Others</t>
  </si>
  <si>
    <t xml:space="preserve">Combat Marine Waste</t>
  </si>
  <si>
    <t xml:space="preserve">https://www.moonshotchallenge.ai/</t>
  </si>
  <si>
    <t xml:space="preserve">🔧 AI + Engineering</t>
  </si>
  <si>
    <t xml:space="preserve">1 Jun 2020</t>
  </si>
  <si>
    <t xml:space="preserve">Moonshot AI Challenge</t>
  </si>
  <si>
    <t xml:space="preserve">ESA/Portugal Space</t>
  </si>
  <si>
    <t xml:space="preserve">Responsible AI Challenge</t>
  </si>
  <si>
    <t xml:space="preserve">https://future.mozilla.org/builders-challenge/?ref=mlcontests</t>
  </si>
  <si>
    <t xml:space="preserve">30 Mar 2023</t>
  </si>
  <si>
    <t xml:space="preserve">Mozilla</t>
  </si>
  <si>
    <t xml:space="preserve">NLP for Price Prediction</t>
  </si>
  <si>
    <t xml:space="preserve">https://quant-quest.com/competitions/text-prediction-challenge</t>
  </si>
  <si>
    <t xml:space="preserve">QuantQuest</t>
  </si>
  <si>
    <t xml:space="preserve">Finding Mining Sites</t>
  </si>
  <si>
    <t xml:space="preserve">https://solafune.com/competitions/58406cd6-c3bb-4f7a-85c7-c5a1ad67ca03?menu=about&amp;tab=overview&amp;utm_source=mlcontests</t>
  </si>
  <si>
    <t xml:space="preserve">25 Dec 2023</t>
  </si>
  <si>
    <t xml:space="preserve">22 Apr 2024</t>
  </si>
  <si>
    <t xml:space="preserve">Solafune</t>
  </si>
  <si>
    <t xml:space="preserve">OGB-LSC Large-Scale Graph ML</t>
  </si>
  <si>
    <t xml:space="preserve">https://ogb.stanford.edu/neurips2022/</t>
  </si>
  <si>
    <t xml:space="preserve">Stanford</t>
  </si>
  <si>
    <t xml:space="preserve">OGB-LSC Large-Scale Graph ML 2021</t>
  </si>
  <si>
    <t xml:space="preserve">https://ogb.stanford.edu/kddcup2021/</t>
  </si>
  <si>
    <t xml:space="preserve">AI Audit Challenge</t>
  </si>
  <si>
    <t xml:space="preserve">https://hai.stanford.edu/policy/ai-audit-challenge</t>
  </si>
  <si>
    <t xml:space="preserve">$71,000</t>
  </si>
  <si>
    <t xml:space="preserve">Neural Audio Plugin Competition</t>
  </si>
  <si>
    <t xml:space="preserve">https://www.theaudioprogrammer.com/neural-audio</t>
  </si>
  <si>
    <t xml:space="preserve">14 Feb 2023</t>
  </si>
  <si>
    <t xml:space="preserve">17 Mar 2023</t>
  </si>
  <si>
    <t xml:space="preserve">TAP</t>
  </si>
  <si>
    <t xml:space="preserve">TikTok, Qosmo, TAP, JUCE, RNBO, GPU Audio, MathWorks</t>
  </si>
  <si>
    <t xml:space="preserve">Maximise Diversity in of Generative Neural Networks</t>
  </si>
  <si>
    <t xml:space="preserve">https://thinkonward.com/app/c/challenges/two-birds?ref=mlc</t>
  </si>
  <si>
    <t xml:space="preserve">💭 Generative Models</t>
  </si>
  <si>
    <t xml:space="preserve">deeplearning</t>
  </si>
  <si>
    <t xml:space="preserve">12 Jan 2024</t>
  </si>
  <si>
    <t xml:space="preserve">Think Onward</t>
  </si>
  <si>
    <t xml:space="preserve">Subsurface Seismic Volume Segmentation</t>
  </si>
  <si>
    <t xml:space="preserve">https://thinkonward.com/app/c/challenges/every-layer?ref=mlc</t>
  </si>
  <si>
    <t xml:space="preserve">8 Feb 2024</t>
  </si>
  <si>
    <t xml:space="preserve">Patch the Planet: Restore Missing Data</t>
  </si>
  <si>
    <t xml:space="preserve">https://thinkonward.com/app/c/challenges/patch-the-planet?ref=mlc</t>
  </si>
  <si>
    <t xml:space="preserve">15 Mar 2024</t>
  </si>
  <si>
    <t xml:space="preserve">Parallel Perspectives: Restoring an Image from 1D Data</t>
  </si>
  <si>
    <t xml:space="preserve">https://thinkonward.com/app/c/challenges/parallel-perspectives?ref=mlc</t>
  </si>
  <si>
    <t xml:space="preserve">Unbreak my Seismic: A Geophysical Jigsaw Problem</t>
  </si>
  <si>
    <t xml:space="preserve">https://thinkonward.com/app/c/challenges/unbreak-my-seismic?ref=mlc</t>
  </si>
  <si>
    <t xml:space="preserve">Reflection Connection: Bringing New Algorithms to Old Data</t>
  </si>
  <si>
    <t xml:space="preserve">https://thinkonward.com/app/c/challenges/reflection-connection?ref=mlc</t>
  </si>
  <si>
    <t xml:space="preserve">The Energy-Efficient Ghosts of Holiday Past</t>
  </si>
  <si>
    <t xml:space="preserve">https://thinkonward.com/app/c/challenges/ghosts-of-holidays-past?ref=mlc</t>
  </si>
  <si>
    <t xml:space="preserve">energy</t>
  </si>
  <si>
    <t xml:space="preserve">16 Feb 2024</t>
  </si>
  <si>
    <t xml:space="preserve">Optimise LLM Inference on ARM CPUs</t>
  </si>
  <si>
    <t xml:space="preserve">https://aicas2024.org/grand-challenge?ref=mlcontests</t>
  </si>
  <si>
    <t xml:space="preserve">⚡ Systems/Efficiency</t>
  </si>
  <si>
    <t xml:space="preserve">performance</t>
  </si>
  <si>
    <t xml:space="preserve">systems</t>
  </si>
  <si>
    <t xml:space="preserve">https://tianchi.aliyun.com/competition/entrance/532170</t>
  </si>
  <si>
    <t xml:space="preserve">4 Jan 2024</t>
  </si>
  <si>
    <t xml:space="preserve">24 Feb 2024</t>
  </si>
  <si>
    <t xml:space="preserve">Tianchi</t>
  </si>
  <si>
    <t xml:space="preserve">Alibaba, ARM China</t>
  </si>
  <si>
    <t xml:space="preserve">AICAS</t>
  </si>
  <si>
    <t xml:space="preserve">BetterMixture: Fine-Tuning Data Mixing for LLMs</t>
  </si>
  <si>
    <t xml:space="preserve">https://tianchi.aliyun.com/competition/entrance/532174?ref=mlcontests</t>
  </si>
  <si>
    <t xml:space="preserve">10 Jan 2024</t>
  </si>
  <si>
    <t xml:space="preserve">19 Mar 2024</t>
  </si>
  <si>
    <t xml:space="preserve">$4,200</t>
  </si>
  <si>
    <t xml:space="preserve">ModelScope</t>
  </si>
  <si>
    <t xml:space="preserve">Fine-Tuning Data Processing for LLMs (1B-Model)</t>
  </si>
  <si>
    <t xml:space="preserve">https://tianchi.aliyun.com/competition/entrance/532157?lang=en-us&amp;ref=mlcontests</t>
  </si>
  <si>
    <t xml:space="preserve">9 Dec 2023</t>
  </si>
  <si>
    <t xml:space="preserve">$3,400</t>
  </si>
  <si>
    <t xml:space="preserve">Fine-Tuning Data Processing for LLMs (7B-Model)</t>
  </si>
  <si>
    <t xml:space="preserve">https://tianchi.aliyun.com/competition/entrance/532158?lang=en-us&amp;ref=mlcontests</t>
  </si>
  <si>
    <t xml:space="preserve">NTIRE2023 Video Colorization Challenge (CDC)</t>
  </si>
  <si>
    <t xml:space="preserve">https://tianchi.aliyun.com/competition/entrance/532056/introduction?ref=mlcontests</t>
  </si>
  <si>
    <t xml:space="preserve">NTIRE2023 Video Colorization Challenge (FID)</t>
  </si>
  <si>
    <t xml:space="preserve">https://tianchi.aliyun.com/competition/entrance/532054/introduction?ref=mlcontests</t>
  </si>
  <si>
    <t xml:space="preserve">Predict Earthquakes in Sichuan-Yunnan</t>
  </si>
  <si>
    <t xml:space="preserve">https://tianchi.aliyun.com/competition/entrance/531972/introduction?spm=5176.12281949.0.0.2014539dxbI4GJ</t>
  </si>
  <si>
    <t xml:space="preserve">1 Jun 2022</t>
  </si>
  <si>
    <t xml:space="preserve">15 Jan 2023</t>
  </si>
  <si>
    <t xml:space="preserve">Detect Algae in Microscopy Images</t>
  </si>
  <si>
    <t xml:space="preserve">https://tianchi.aliyun.com/competition/entrance/532036/introduction?spm=5176.12281949.0.0.2014539dxbI4GJ</t>
  </si>
  <si>
    <t xml:space="preserve">IEEE UV</t>
  </si>
  <si>
    <t xml:space="preserve">Compare Short Text Semantics</t>
  </si>
  <si>
    <t xml:space="preserve">https://tianchi.aliyun.com/competition/entrance/531851/introduction</t>
  </si>
  <si>
    <t xml:space="preserve">14 May 2021</t>
  </si>
  <si>
    <t xml:space="preserve">$77,000</t>
  </si>
  <si>
    <t xml:space="preserve">Identify Anomalies in CT Scan Descriptions</t>
  </si>
  <si>
    <t xml:space="preserve">https://tianchi.aliyun.com/competition/entrance/531852/introduction</t>
  </si>
  <si>
    <t xml:space="preserve">12 May 2021</t>
  </si>
  <si>
    <t xml:space="preserve">Multiple Object Detection</t>
  </si>
  <si>
    <t xml:space="preserve">https://tianchi.aliyun.com/competition/entrance/531855/introduction</t>
  </si>
  <si>
    <t xml:space="preserve">13 May 2021</t>
  </si>
  <si>
    <t xml:space="preserve">Multimodal Product Identification</t>
  </si>
  <si>
    <t xml:space="preserve">https://tianchi.aliyun.com/competition/entrance/531893/introduction</t>
  </si>
  <si>
    <t xml:space="preserve">12 Jul 2021</t>
  </si>
  <si>
    <t xml:space="preserve">Large-scale Product Recognition</t>
  </si>
  <si>
    <t xml:space="preserve">https://tianchi.aliyun.com/competition/entrance/531884/introduction</t>
  </si>
  <si>
    <t xml:space="preserve">9 Jun 2021</t>
  </si>
  <si>
    <t xml:space="preserve">Logo Detection in Adversarial Scenarios</t>
  </si>
  <si>
    <t xml:space="preserve">https://tianchi.aliyun.com/competition/entrance/531888/introduction</t>
  </si>
  <si>
    <t xml:space="preserve">7 Jul 2021</t>
  </si>
  <si>
    <t xml:space="preserve">$46,000</t>
  </si>
  <si>
    <t xml:space="preserve">Adversarial Object Detection</t>
  </si>
  <si>
    <t xml:space="preserve">https://tianchi.aliyun.com/competition/entrance/531806/introduction</t>
  </si>
  <si>
    <t xml:space="preserve">3 Sep 2021</t>
  </si>
  <si>
    <t xml:space="preserve">Topcoder Skill Builder Competition</t>
  </si>
  <si>
    <t xml:space="preserve">https://www.topcoder.com/challenges/c149568d-b8d3-45c2-b224-bbe02498e1c0?utm_source=mlcontests&amp;utm_medium=website&amp;utm_campaign=ds_external&amp;utm_id=911</t>
  </si>
  <si>
    <t xml:space="preserve">$1,800</t>
  </si>
  <si>
    <t xml:space="preserve">Topcoder</t>
  </si>
  <si>
    <t xml:space="preserve">Hydropower Operations Optimization Prize (Phase 3)</t>
  </si>
  <si>
    <t xml:space="preserve">https://www.topcoder.com/challenges/443fd497-e1cb-4c6e-97ce-46de9aeb0382?utm_source=mlcontests&amp;utm_medium=website&amp;utm_campaign=ds_external&amp;utm_id=912</t>
  </si>
  <si>
    <t xml:space="preserve">Hydropower Operations Optimization</t>
  </si>
  <si>
    <t xml:space="preserve">https://www.topcoder.com/challenges/794177c5-3bb6-4fb8-91bd-7e2fd646fa2d?utm_source=mlcontests&amp;utm_medium=website&amp;utm_campaign=ds_external&amp;utm_id=0903</t>
  </si>
  <si>
    <t xml:space="preserve">https://www.topcoder.com/community/h2os?tracks[4W0KrhTqb6lznafnX7YPk3]=0</t>
  </si>
  <si>
    <t xml:space="preserve">19 Aug 2022</t>
  </si>
  <si>
    <t xml:space="preserve">Topcoder, U.S. DOE WPTO</t>
  </si>
  <si>
    <t xml:space="preserve">SpaceNet 8: Flood Detection Using Multiclass Segmentation</t>
  </si>
  <si>
    <t xml:space="preserve">https://www.topcoder.com/challenges/a6c49990-e4a9-4e90-a731-4cc6502e6beb?utm_source=mlcontests&amp;utm_medium=website&amp;utm_campaign=ds_external&amp;utm_id=0902</t>
  </si>
  <si>
    <t xml:space="preserve">Topcoder, Maxar Technologies</t>
  </si>
  <si>
    <t xml:space="preserve">Device Operating Region Classification Match</t>
  </si>
  <si>
    <t xml:space="preserve">https://www.topcoder.com/challenges/2ae3b08a-aabc-4345-87bd-7edfff837e8c?utm_source=mlcontests&amp;utm_medium=website&amp;utm_campaign=ds_external&amp;utm_id=0901</t>
  </si>
  <si>
    <t xml:space="preserve">28 Aug 2022</t>
  </si>
  <si>
    <t xml:space="preserve">$34,700</t>
  </si>
  <si>
    <t xml:space="preserve">Topcoder, Undisclosed</t>
  </si>
  <si>
    <t xml:space="preserve">CFO Forecasting</t>
  </si>
  <si>
    <t xml:space="preserve">https://www.topcoder.com/challenges/30124343</t>
  </si>
  <si>
    <t xml:space="preserve">15 May 2020</t>
  </si>
  <si>
    <t xml:space="preserve">$3,150</t>
  </si>
  <si>
    <t xml:space="preserve">Forecast Retail Maintenance Incidents</t>
  </si>
  <si>
    <t xml:space="preserve">https://www.topcoder.com/challenges/30122959</t>
  </si>
  <si>
    <t xml:space="preserve">9 Jun 2020</t>
  </si>
  <si>
    <t xml:space="preserve">Diagnose Rare Diseases From Oral Images</t>
  </si>
  <si>
    <t xml:space="preserve">https://www.trustii.io/post/diagnodent?ref=mlcontests</t>
  </si>
  <si>
    <t xml:space="preserve">https://app.trustii.io</t>
  </si>
  <si>
    <t xml:space="preserve">https://www.health-data-hub.fr/actualites/data-challenges-en-sante-lancement-du-data-challenge-d-ia-gno-dent</t>
  </si>
  <si>
    <t xml:space="preserve">https://savoirs.unistra.fr/eclairage/un-challenge-pour-mettre-lia-au-service-du-diagnostic-des-maladies-rares-a-expressions-buccodentaires</t>
  </si>
  <si>
    <t xml:space="preserve">1 Apr 2023</t>
  </si>
  <si>
    <t xml:space="preserve">9 Jul 2023</t>
  </si>
  <si>
    <t xml:space="preserve">Trustii.io</t>
  </si>
  <si>
    <t xml:space="preserve">Full sponsors include Strasbourg University Hospital, Reference center for rare oral and dental diseases and associated network, IGBMC, Université de Strasbourg, CNRS UMR7104, INSERM U1258</t>
  </si>
  <si>
    <t xml:space="preserve">Detect Allergens</t>
  </si>
  <si>
    <t xml:space="preserve">https://www.trustii.io/post/allergen-chip?ref=mlcontests</t>
  </si>
  <si>
    <t xml:space="preserve">https://sfa.lesallergies.fr/blog/data-challenges-en-sante-lancement-de-lallergen-chip-challenge/</t>
  </si>
  <si>
    <t xml:space="preserve">https://www.health-data-hub.fr/actualites/data-challenges-en-sante-lancement-de-lallergen-chip-challenge</t>
  </si>
  <si>
    <t xml:space="preserve">18 Jul 2023</t>
  </si>
  <si>
    <t xml:space="preserve">French Society of Allergology (SFA), Health Data Hub</t>
  </si>
  <si>
    <t xml:space="preserve">Predict the level of hygiene of food production</t>
  </si>
  <si>
    <t xml:space="preserve">https://www.trustii.io/post/data-challenge-predict-the-level-of-hygiene-of-food-production?ref=mlcontests</t>
  </si>
  <si>
    <t xml:space="preserve">https://www.data.gouv.fr/en/datasets/resultats-des-controles-officiels-sanitaires-dispositif-dinformation-alimconfiance/?reuses_page=1#community-reuses</t>
  </si>
  <si>
    <t xml:space="preserve">31 Mar 2024</t>
  </si>
  <si>
    <t xml:space="preserve">The Gawler Challenge</t>
  </si>
  <si>
    <t xml:space="preserve">https://unearthed.solutions/u/competitions/exploresa</t>
  </si>
  <si>
    <t xml:space="preserve">Unearthed</t>
  </si>
  <si>
    <t xml:space="preserve">Govt. of South Australia</t>
  </si>
  <si>
    <t xml:space="preserve">Waymo 2023: Pose Estimation</t>
  </si>
  <si>
    <t xml:space="preserve">https://waymo.com/intl/en_us/open/challenges/2023/pose-estimation/?ref=mlcontests</t>
  </si>
  <si>
    <t xml:space="preserve">Waymo</t>
  </si>
  <si>
    <t xml:space="preserve">Waymo 2023: Motion Prediction</t>
  </si>
  <si>
    <t xml:space="preserve">https://waymo.com/intl/en_us/open/challenges/2023/motion-prediction/?ref=mlcontests</t>
  </si>
  <si>
    <t xml:space="preserve">Waymo 2023: Sim Agents</t>
  </si>
  <si>
    <t xml:space="preserve">https://waymo.com/intl/en_us/open/challenges/2023/sim-agents/?ref=mlcontests</t>
  </si>
  <si>
    <t xml:space="preserve">Waymo 2023: 2D Panoptic Segmentation</t>
  </si>
  <si>
    <t xml:space="preserve">https://waymo.com/intl/en_us/open/challenges/2023/2d-video-panoptic-segmentation/?ref=mlcontests</t>
  </si>
  <si>
    <t xml:space="preserve">Waymo Open Dataset Challenges (2020)</t>
  </si>
  <si>
    <t xml:space="preserve">https://waymo.com/open/challenges/</t>
  </si>
  <si>
    <t xml:space="preserve">Waymo Open Dataset Challenges (2021)</t>
  </si>
  <si>
    <t xml:space="preserve">$88,000</t>
  </si>
  <si>
    <t xml:space="preserve">Waymo 2022: Motion Prediction</t>
  </si>
  <si>
    <t xml:space="preserve">https://waymo.com/open/challenges/2022/motion-prediction/?source=mlcontests</t>
  </si>
  <si>
    <t xml:space="preserve">23 May 2022</t>
  </si>
  <si>
    <t xml:space="preserve">Waymo 2022: Occupancy &amp; Flow Prediction</t>
  </si>
  <si>
    <t xml:space="preserve">https://waymo.com/open/challenges/2022/occupancy-flow-prediction-challenge/?source=mlcontests</t>
  </si>
  <si>
    <t xml:space="preserve">Waymo 2022: 3D Camera-Only Detection</t>
  </si>
  <si>
    <t xml:space="preserve">https://waymo.com/open/challenges/2022/3d-camera-only-detection/?source=mlcontests</t>
  </si>
  <si>
    <t xml:space="preserve">Waymo 2022: 3D Semantic Segmentation</t>
  </si>
  <si>
    <t xml:space="preserve">https://waymo.com/open/challenges/2022/3d-semantic-segmentation/?source=mlcontests</t>
  </si>
  <si>
    <t xml:space="preserve">Slick in a Haystack - a Localization Challenge</t>
  </si>
  <si>
    <t xml:space="preserve">https://xeek.ai/challenges/slick-in-a-haystack-a-localization-challenges</t>
  </si>
  <si>
    <t xml:space="preserve">Xeek</t>
  </si>
  <si>
    <t xml:space="preserve">Identify and Extract Axes Values</t>
  </si>
  <si>
    <t xml:space="preserve">https://xeek.ai/challenges/identify-and-extract-axes-values</t>
  </si>
  <si>
    <t xml:space="preserve">7 Sep 2022</t>
  </si>
  <si>
    <t xml:space="preserve">Visualise Geoscience Data</t>
  </si>
  <si>
    <t xml:space="preserve">https://xeek.ai/challenges/keep-geoscience-weird/overview</t>
  </si>
  <si>
    <t xml:space="preserve">4 Jun 2021</t>
  </si>
  <si>
    <t xml:space="preserve">Future in Charges: Modeling Battery Properties</t>
  </si>
  <si>
    <t xml:space="preserve">https://xeek.ai/challenges/future-in-charges</t>
  </si>
  <si>
    <t xml:space="preserve">6 Jan 2023</t>
  </si>
  <si>
    <t xml:space="preserve">Extract Axis Text from Chart Images</t>
  </si>
  <si>
    <t xml:space="preserve">https://xeek.ai/challenges/text-on-crossplots</t>
  </si>
  <si>
    <t xml:space="preserve">2 Nov 2022</t>
  </si>
  <si>
    <t xml:space="preserve">Extract Legend Text from Chart Images</t>
  </si>
  <si>
    <t xml:space="preserve">https://xeek.ai/challenges/extract-crossplot-markers</t>
  </si>
  <si>
    <t xml:space="preserve">Finders Seekers - Help Find Data in Satellite Images</t>
  </si>
  <si>
    <t xml:space="preserve">https://xeek.ai/challenges/finders-seekers-job1</t>
  </si>
  <si>
    <t xml:space="preserve">7 Dec 2022</t>
  </si>
  <si>
    <t xml:space="preserve">Train a Conditional VAE to Produce Inputs to Mathematical Functions</t>
  </si>
  <si>
    <t xml:space="preserve">https://xeek.ai/challenges/from-one-to-many?ref=mlcontests</t>
  </si>
  <si>
    <t xml:space="preserve">Optimise Deployment of Workers Across Graphs</t>
  </si>
  <si>
    <t xml:space="preserve">https://xeek.ai/challenges/off-the-beaten-path?ref=mlcontests</t>
  </si>
  <si>
    <t xml:space="preserve">16 Sep 2023</t>
  </si>
  <si>
    <t xml:space="preserve">Segment Objects Through the Microscope</t>
  </si>
  <si>
    <t xml:space="preserve">https://xeek.ai/challenges/stranger-sections</t>
  </si>
  <si>
    <t xml:space="preserve">13 Sep 2023</t>
  </si>
  <si>
    <t xml:space="preserve">Hardware-Efficient Modulation Classification </t>
  </si>
  <si>
    <t xml:space="preserve">https://challenge.aiforgood.itu.int/match/matchitem/34</t>
  </si>
  <si>
    <t xml:space="preserve">2 Oct 2021</t>
  </si>
  <si>
    <t xml:space="preserve">Xilinx</t>
  </si>
  <si>
    <t xml:space="preserve">Pandemic Response Challenge</t>
  </si>
  <si>
    <t xml:space="preserve">https://xprize.org/challenge/pandemicresponse</t>
  </si>
  <si>
    <t xml:space="preserve">8 Dec 2020</t>
  </si>
  <si>
    <t xml:space="preserve">XPRIZE</t>
  </si>
  <si>
    <t xml:space="preserve">Cognizant</t>
  </si>
  <si>
    <t xml:space="preserve">ZenML's Month of MLOps Competition</t>
  </si>
  <si>
    <t xml:space="preserve">https://zenml.io/competition/</t>
  </si>
  <si>
    <t xml:space="preserve">🛠 MLOps</t>
  </si>
  <si>
    <t xml:space="preserve">mlops</t>
  </si>
  <si>
    <t xml:space="preserve">ZenML</t>
  </si>
  <si>
    <t xml:space="preserve">Predict Drought Damage From Crop Images</t>
  </si>
  <si>
    <t xml:space="preserve">https://zindi.africa/competitions/cgiar-eyes-on-the-ground-challenge?ref=mlcontests</t>
  </si>
  <si>
    <t xml:space="preserve">Zindi</t>
  </si>
  <si>
    <t xml:space="preserve">IFPRI, ACRE Africa, CGIAR</t>
  </si>
  <si>
    <t xml:space="preserve">Part-of-speech Tagging for Diverse African Languages</t>
  </si>
  <si>
    <t xml:space="preserve">https://zindi.africa/competitions/lacuna-masakhane-parts-of-speech-classification-challenge?ref=mlcontests&amp;utm_medium=referral&amp;utm_source=mlcontest&amp;utm_campaign=paulkennedy</t>
  </si>
  <si>
    <t xml:space="preserve">17 Sep 2023</t>
  </si>
  <si>
    <t xml:space="preserve">Masakhane/Lacuna Fund</t>
  </si>
  <si>
    <t xml:space="preserve">Predict User Engagement on Zindi (2021)</t>
  </si>
  <si>
    <t xml:space="preserve">https://zindi.africa/competitions/zindi-user-behaviour-birthday-challenge</t>
  </si>
  <si>
    <t xml:space="preserve">23 Jan 2022</t>
  </si>
  <si>
    <t xml:space="preserve">Automated Speech Recognition for Luganda</t>
  </si>
  <si>
    <t xml:space="preserve">https://zindi.africa/competitions/mozilla-luganda-automatic-speech-recognition?utm_source=mlcontests</t>
  </si>
  <si>
    <t xml:space="preserve">16 Jan 2022</t>
  </si>
  <si>
    <t xml:space="preserve">Mozilla, NVIDIA</t>
  </si>
  <si>
    <t xml:space="preserve">Blood Spectroscopy Classification</t>
  </si>
  <si>
    <t xml:space="preserve">https://zindi.africa/competitions/bloodsai-blood-spectroscopy-classification-challenge?utm_source=mlcontests</t>
  </si>
  <si>
    <t xml:space="preserve">13 Feb 2022</t>
  </si>
  <si>
    <t xml:space="preserve">Bloods.ai</t>
  </si>
  <si>
    <t xml:space="preserve">Kenyan Sign Language Classification</t>
  </si>
  <si>
    <t xml:space="preserve">https://zindi.africa/competitions/kenyan-sign-language-classification-challenge?utm_source=mlcontests</t>
  </si>
  <si>
    <t xml:space="preserve">27 Feb 2022</t>
  </si>
  <si>
    <t xml:space="preserve">Task Mate</t>
  </si>
  <si>
    <t xml:space="preserve">Extract Insights from the Open Buildings dataset</t>
  </si>
  <si>
    <t xml:space="preserve">https://zindi.africa/competitions/hack-the-continent-open-buildings-challenge?utm_source=mlcontests</t>
  </si>
  <si>
    <t xml:space="preserve">Predict How Well-Liked Songs are From Listening History</t>
  </si>
  <si>
    <t xml:space="preserve">https://zindi.africa/competitions/hulkshare-recommendation-algorithm-challenge?utm_source=mlcontests</t>
  </si>
  <si>
    <t xml:space="preserve">Hulkshare</t>
  </si>
  <si>
    <t xml:space="preserve">Classify Purchases by Merchant Type</t>
  </si>
  <si>
    <t xml:space="preserve">https://zindi.africa/competitions/alvin-smart-money-management-classification-challenge?utm_source=mlcontests</t>
  </si>
  <si>
    <t xml:space="preserve">24 Jul 2022</t>
  </si>
  <si>
    <t xml:space="preserve">Alvin</t>
  </si>
  <si>
    <t xml:space="preserve">English-Kinyarwanda Text Dataset Preparation</t>
  </si>
  <si>
    <t xml:space="preserve">https://zindi.africa/competitions/giz-kinyarwanda-text-cleaning-and-augmentation-competition?utm_source=mlcontests</t>
  </si>
  <si>
    <t xml:space="preserve">7 Aug 2022</t>
  </si>
  <si>
    <t xml:space="preserve">GIZ</t>
  </si>
  <si>
    <t xml:space="preserve">Forecast Future Demand for Watches</t>
  </si>
  <si>
    <t xml:space="preserve">https://zindi.africa/competitions/fossil-top-5-challenge</t>
  </si>
  <si>
    <t xml:space="preserve">14 Oct 2022</t>
  </si>
  <si>
    <t xml:space="preserve">Fossil</t>
  </si>
  <si>
    <t xml:space="preserve">Predict Bank Customer Income</t>
  </si>
  <si>
    <t xml:space="preserve">https://zindi.africa/competitions/absa-customer-income-prediction-challenge?utm_source=mlcontests</t>
  </si>
  <si>
    <t xml:space="preserve">Absa CIB</t>
  </si>
  <si>
    <t xml:space="preserve">ZA</t>
  </si>
  <si>
    <t xml:space="preserve">Air Quality Forecasting in Uganda</t>
  </si>
  <si>
    <t xml:space="preserve">https://zindi.africa/competitions/layerai-air-quality-prediction-challenge</t>
  </si>
  <si>
    <t xml:space="preserve">2 Oct 2022</t>
  </si>
  <si>
    <t xml:space="preserve">Turtle Recall: Conservation Challenge</t>
  </si>
  <si>
    <t xml:space="preserve">https://zindi.africa/competitions/turtle-recall-conservation-challenge</t>
  </si>
  <si>
    <t xml:space="preserve">13 Mar 2022</t>
  </si>
  <si>
    <t xml:space="preserve">DeepMind</t>
  </si>
  <si>
    <t xml:space="preserve">African Language Challenge Dataset</t>
  </si>
  <si>
    <t xml:space="preserve">http://zindi.africa/competitions/ai4d-african-language-dataset-challenge</t>
  </si>
  <si>
    <t xml:space="preserve">1 Apr 2020</t>
  </si>
  <si>
    <t xml:space="preserve">Artificial Intelligence for Development Africa</t>
  </si>
  <si>
    <t xml:space="preserve">Flood Prediction in Malawi</t>
  </si>
  <si>
    <t xml:space="preserve">https://zindi.africa/competitions/2030-vision-flood-prediction-in-malawi</t>
  </si>
  <si>
    <t xml:space="preserve">Arm/UNICEF</t>
  </si>
  <si>
    <t xml:space="preserve">Classifying Crop Types</t>
  </si>
  <si>
    <t xml:space="preserve">https://zindi.africa/competitions/iclr-workshop-challenge-2-radiant-earth-computer-vision-for-crop-recognition</t>
  </si>
  <si>
    <t xml:space="preserve">29 Mar 2020</t>
  </si>
  <si>
    <t xml:space="preserve">Radiant Earth/ICLR</t>
  </si>
  <si>
    <t xml:space="preserve">Detecting Crop Diseases</t>
  </si>
  <si>
    <t xml:space="preserve">https://zindi.africa/competitions/iclr-workshop-challenge-1-cgiar-computer-vision-for-crop-disease</t>
  </si>
  <si>
    <t xml:space="preserve">CGIAR/ICLR</t>
  </si>
  <si>
    <t xml:space="preserve">Malawi Floods Data Visualisation</t>
  </si>
  <si>
    <t xml:space="preserve">https://zindi.africa/competitions/2030-vision-data-visualization-and-reporting-challenge</t>
  </si>
  <si>
    <t xml:space="preserve">Predict the Global Spread of COVID-19</t>
  </si>
  <si>
    <t xml:space="preserve">https://zindi.africa/competitions/predict-the-global-spread-of-covid-19</t>
  </si>
  <si>
    <t xml:space="preserve">19 Apr 2020</t>
  </si>
  <si>
    <t xml:space="preserve">Air Quality Forecasting</t>
  </si>
  <si>
    <t xml:space="preserve">https://zindi.africa/competitions/airqo-ugandan-air-quality-forecast-challenge</t>
  </si>
  <si>
    <t xml:space="preserve">Mental Health Statement Classification</t>
  </si>
  <si>
    <t xml:space="preserve">https://zindi.africa/competitions/basic-needs-basic-rights-kenya-tech4mentalhealth</t>
  </si>
  <si>
    <t xml:space="preserve">6 Jul 2020</t>
  </si>
  <si>
    <t xml:space="preserve">BNBR Kenya</t>
  </si>
  <si>
    <t xml:space="preserve">Zimbabwe Animal Data Insight</t>
  </si>
  <si>
    <t xml:space="preserve">https://zindi.africa/competitions/animal-insights-challenge</t>
  </si>
  <si>
    <t xml:space="preserve">$3,195</t>
  </si>
  <si>
    <t xml:space="preserve">iXperience</t>
  </si>
  <si>
    <t xml:space="preserve">Restaurant Recommendation</t>
  </si>
  <si>
    <t xml:space="preserve">https://zindi.africa/competitions/akeed-restaurant-recommendation-challenge</t>
  </si>
  <si>
    <t xml:space="preserve">Akeed</t>
  </si>
  <si>
    <t xml:space="preserve">African Language Challenge - Round 2</t>
  </si>
  <si>
    <t xml:space="preserve">https://zindi.africa/competitions/ai4d-african-language-dataset-challenge</t>
  </si>
  <si>
    <t xml:space="preserve">GIZ/AI4D-Africa</t>
  </si>
  <si>
    <t xml:space="preserve">Insurance Product Recommendation</t>
  </si>
  <si>
    <t xml:space="preserve">https://zindi.africa/competitions/zimnat-insurance-recommendation-challenge</t>
  </si>
  <si>
    <t xml:space="preserve">Zimnat</t>
  </si>
  <si>
    <t xml:space="preserve">Malawi News Classification</t>
  </si>
  <si>
    <t xml:space="preserve">https://zindi.africa/competitions/ai4d-malawi-news-classification-challenge</t>
  </si>
  <si>
    <t xml:space="preserve">tNyasa/AI4D-Africa</t>
  </si>
  <si>
    <t xml:space="preserve">French -&gt; Ewe/Fongbe Translation</t>
  </si>
  <si>
    <t xml:space="preserve">https://zindi.africa/competitions/ai4d-takwimu-lab-machine-translation-challenge</t>
  </si>
  <si>
    <t xml:space="preserve">26 Apr 2021</t>
  </si>
  <si>
    <t xml:space="preserve">Takwimu Lab/AI4D-Africa</t>
  </si>
  <si>
    <t xml:space="preserve">Yorùbá Machine Translation</t>
  </si>
  <si>
    <t xml:space="preserve">https://zindi.africa/competitions/ai4d-yoruba-machine-translation-challenge</t>
  </si>
  <si>
    <t xml:space="preserve">Masakhane/AI4D-Africa</t>
  </si>
  <si>
    <t xml:space="preserve">Tunisian Arabizi Sentiment Analysis</t>
  </si>
  <si>
    <t xml:space="preserve">https://zindi.africa/competitions/ai4d-icompass-social-media-sentiment-analysis-for-tunisian-arabizi</t>
  </si>
  <si>
    <t xml:space="preserve">29 Mar 2021</t>
  </si>
  <si>
    <t xml:space="preserve">iCompass/AI4D-Africa</t>
  </si>
  <si>
    <t xml:space="preserve">Accurately Locate Crop Fields</t>
  </si>
  <si>
    <t xml:space="preserve">https://zindi.africa/competitions/lacuna-correct-field-detection-challenge</t>
  </si>
  <si>
    <t xml:space="preserve">14 Jun 2021</t>
  </si>
  <si>
    <t xml:space="preserve">CGIAR</t>
  </si>
  <si>
    <t xml:space="preserve">AgriFieldNet India Challenge</t>
  </si>
  <si>
    <t xml:space="preserve">https://zindi.africa/competitions/agrifieldnet-india-challenge?utm_medium=referral&amp;utm_source=mlcontest&amp;utm_campaign=agrifieldindia</t>
  </si>
  <si>
    <t xml:space="preserve">Radiant Earth Foundation</t>
  </si>
  <si>
    <t xml:space="preserve">AI4D Africa’s Anglophone Research Lab Tanzania Tourism</t>
  </si>
  <si>
    <t xml:space="preserve">https://zindi.africa/competitions/ai4d-lab-tanzania-tourism-classification-challenge?utm_source=mailchimp&amp;utm_medium=post&amp;utm_campaign=mlplatformexp&amp;utm_id=mlcontest</t>
  </si>
  <si>
    <t xml:space="preserve">1 Jul 2022</t>
  </si>
  <si>
    <t xml:space="preserve">AI4D Africa</t>
  </si>
  <si>
    <t xml:space="preserve">Makerere Fall Armyworm Crop Challenge</t>
  </si>
  <si>
    <t xml:space="preserve">https://zindi.africa/competitions/makerere-fall-armyworm-crop-challenge?utm_source=mailchimp&amp;utm_medium=post&amp;utm_campaign=mlplatformexp&amp;utm_id=mlcontest</t>
  </si>
  <si>
    <t xml:space="preserve">23 Jul 2022</t>
  </si>
  <si>
    <t xml:space="preserve">Makerere</t>
  </si>
  <si>
    <t xml:space="preserve">DataFest Africa Noise Pollution</t>
  </si>
  <si>
    <t xml:space="preserve">https://zindi.africa/competitions/datafest-africa-2022?utm_source=mailchimp&amp;utm_medium=post&amp;utm_campaign=mlplatformexp&amp;utm_id=mlcontest</t>
  </si>
  <si>
    <t xml:space="preserve">26 Jul 2022</t>
  </si>
  <si>
    <t xml:space="preserve">Datafest Africa</t>
  </si>
  <si>
    <t xml:space="preserve">Microsoft Rice Disease</t>
  </si>
  <si>
    <t xml:space="preserve">https://zindi.africa/competitions/microsoft-rice-disease-classification-challenge?utm_source=mlcontest&amp;utm_medium=post&amp;utm_campaign=mlplatformexp&amp;utm_id=mlcontest</t>
  </si>
  <si>
    <t xml:space="preserve">14 Aug 2022</t>
  </si>
  <si>
    <t xml:space="preserve">Fossil Watch Demand Forecasting</t>
  </si>
  <si>
    <t xml:space="preserve">https://zindi.africa/competitions/fossil-stock-forecasting-challenge?utm_source=mailchimp&amp;utm_medium=post&amp;utm_campaign=mlplatformexp&amp;utm_id=mlcontest</t>
  </si>
  <si>
    <t xml:space="preserve">Laduma Analytics Football League Winners</t>
  </si>
  <si>
    <t xml:space="preserve">https://zindi.africa/competitions/laduma-analytics-football-league-winners-prediction-challenge?utm_source=mailchimp&amp;utm_medium=post&amp;utm_campaign=mlplatformexp&amp;utm_id=mlcontest</t>
  </si>
  <si>
    <t xml:space="preserve">Laduma Analytics</t>
  </si>
  <si>
    <t xml:space="preserve">Count Pests in Agricultural Images</t>
  </si>
  <si>
    <t xml:space="preserve">https://zindi.africa/competitions/wadhwani-ai-bollworm-counting-challenge?utm_medium=referral&amp;utm_source=mlcontest&amp;utm_campaign=wadhwanibollworm</t>
  </si>
  <si>
    <t xml:space="preserve">4 Dec 2022</t>
  </si>
  <si>
    <t xml:space="preserve">Wadhwani, FAIR Forward</t>
  </si>
  <si>
    <t xml:space="preserve">Zindi New User Engagement Prediction Challenge</t>
  </si>
  <si>
    <t xml:space="preserve">https://zindi.africa/competitions/zindi-new-user-engagement-prediction-challenge?utm_medium=referral&amp;utm_source=mlcontest&amp;utm_campaign=newuserengagement</t>
  </si>
  <si>
    <t xml:space="preserve">12 Feb 2023</t>
  </si>
  <si>
    <t xml:space="preserve">$5,000 </t>
  </si>
  <si>
    <t xml:space="preserve">Absa Corporate Client Activity Forecasting Challenge</t>
  </si>
  <si>
    <t xml:space="preserve">https://zindi.africa/competitions/absa-corporate-client-activity-forecasting-challenge/leaderboard?utm_medium=referral&amp;utm_source=mlcontest&amp;utm_campaign=absacafc</t>
  </si>
  <si>
    <t xml:space="preserve">NASA Harvest Field Boundary Detection Challenge</t>
  </si>
  <si>
    <t xml:space="preserve">https://zindi.africa/competitions/nasa-harvest-field-boundary-detection-challenge?utm_medium=referral&amp;utm_source=mlcontest&amp;utm_campaign=nasaharvest</t>
  </si>
  <si>
    <t xml:space="preserve">26 Feb 2023</t>
  </si>
  <si>
    <t xml:space="preserve">NASA Harvest</t>
  </si>
  <si>
    <t xml:space="preserve">Africa Biomass Challenge</t>
  </si>
  <si>
    <t xml:space="preserve">https://zindi.africa/competitions/africa-biomass-challenge?utm_medium=referral&amp;utm_source=mlcontest&amp;utm_campaign=biomass</t>
  </si>
  <si>
    <t xml:space="preserve">21 May 2023</t>
  </si>
  <si>
    <t xml:space="preserve">$10,000 </t>
  </si>
  <si>
    <t xml:space="preserve">DataDrive2030 Early Learning Predictors Challenge</t>
  </si>
  <si>
    <t xml:space="preserve">https://zindi.africa/competitions/datadrive2030-early-learning-predictors-challenge?utm_medium=referral&amp;utm_source=mlcontest&amp;utm_campaign=ecd</t>
  </si>
  <si>
    <t xml:space="preserve">2 Feb 2023</t>
  </si>
  <si>
    <t xml:space="preserve">$3,000 </t>
  </si>
  <si>
    <t xml:space="preserve">DataDrive2030</t>
  </si>
  <si>
    <t xml:space="preserve">Intron AfriSpeech-200 Automatic Speech Recognition Challenge</t>
  </si>
  <si>
    <t xml:space="preserve">https://zindi.africa/competitions/intron-afrispeech-200-automatic-speech-recognition-challenge?utm_medium=referral&amp;utm_source=mlcontest&amp;utm_campaign=asr</t>
  </si>
  <si>
    <t xml:space="preserve">28 May 2023</t>
  </si>
  <si>
    <t xml:space="preserve">Intron, Huggingface, DSN, lanfrica, Masakhane</t>
  </si>
  <si>
    <t xml:space="preserve">Geo-AI Challenge for Air Pollution Susceptibility Mapping</t>
  </si>
  <si>
    <t xml:space="preserve">https://zindi.africa/competitions/geoai-challenge-for-air-pollution-susceptibility-mapping?utm_medium=referral&amp;utm_source=mlcontest&amp;utm_campaign=compupdates</t>
  </si>
  <si>
    <t xml:space="preserve">27 Jul 2023</t>
  </si>
  <si>
    <t xml:space="preserve">14 Oct 2023</t>
  </si>
  <si>
    <t xml:space="preserve">GEO-AI Challenge for Cropland Mapping</t>
  </si>
  <si>
    <t xml:space="preserve">https://zindi.africa/competitions/geo-ai-challenge-for-cropland-mapping-with-satellite-imagery?utm_medium=referral&amp;utm_source=mlcontest&amp;utm_campaign=compupdates</t>
  </si>
  <si>
    <t xml:space="preserve">30 Jun 2023</t>
  </si>
  <si>
    <t xml:space="preserve">GEO-AI Challenge for Landslide Susceptibility Mapping</t>
  </si>
  <si>
    <t xml:space="preserve">https://zindi.africa/competitions/geo-ai-challenge-for-landslide-susceptibility-mapping?utm_medium=referral&amp;utm_source=mlcontest&amp;utm_campaign=compupdates</t>
  </si>
  <si>
    <t xml:space="preserve">AI/ML for 5G-Energy Consumption Modelling</t>
  </si>
  <si>
    <t xml:space="preserve">https://zindi.africa/competitions/aiml-for-5g-energy-consumption-modelling?utm_medium=referral&amp;utm_source=mlcontest&amp;utm_campaign=compupdates</t>
  </si>
  <si>
    <t xml:space="preserve">$23,000</t>
  </si>
  <si>
    <t xml:space="preserve">Network Traffic Scenario Prediction Challenge</t>
  </si>
  <si>
    <t xml:space="preserve">https://zindi.africa/competitions/network-traffic-scenario-prediction-challenge?utm_medium=referral&amp;utm_source=mlcontest&amp;utm_campaign=compupdates</t>
  </si>
  <si>
    <t xml:space="preserve">28 Jul 2023</t>
  </si>
  <si>
    <t xml:space="preserve">10 Sep 2023</t>
  </si>
  <si>
    <t xml:space="preserve">Fault Impact Analysis: Towards Service-Oriented Network Operation &amp; Maintenance</t>
  </si>
  <si>
    <t xml:space="preserve">https://zindi.africa/competitions/fault-impact-analysis-towards-service-oriented-network-operation-maintenance?utm_medium=referral&amp;utm_source=mlcontest&amp;utm_campaign=compupdates</t>
  </si>
  <si>
    <t xml:space="preserve">9,000</t>
  </si>
  <si>
    <t xml:space="preserve">Nowcast Inflation in South Africa</t>
  </si>
  <si>
    <t xml:space="preserve">https://zindi.africa/competitions/rmb-cpi-nowcasting-challenge?utm_medium=referral&amp;utm_source=mlcontest&amp;utm_campaign=compupdates</t>
  </si>
  <si>
    <t xml:space="preserve">GeoAI: Location Mention Recognition from Social Media</t>
  </si>
  <si>
    <t xml:space="preserve">https://zindi.africa/competitions/geoai-challege-location-mention-recognition-from-social-media?utm_medium=referral&amp;utm_source=mlcontest&amp;utm_campaign=compupdates</t>
  </si>
  <si>
    <t xml:space="preserve">19 July 2023</t>
  </si>
  <si>
    <t xml:space="preserve">$1,150</t>
  </si>
  <si>
    <t xml:space="preserve">Digital Green Crop Yield Estimate Challenge</t>
  </si>
  <si>
    <t xml:space="preserve">https://zindi.africa/competitions/digital-green-crop-yield-estimate-challenge?utm_medium=referral&amp;utm_source=mlcontest&amp;utm_campaign=compupdates</t>
  </si>
  <si>
    <t xml:space="preserve">8 Sep 2023</t>
  </si>
  <si>
    <t xml:space="preserve">3 Dec 2023</t>
  </si>
  <si>
    <t xml:space="preserve">Digital Green</t>
  </si>
  <si>
    <t xml:space="preserve">GeoAI: Estimating Soil Parameters from Hyperspectral Images</t>
  </si>
  <si>
    <t xml:space="preserve">https://zindi.africa/competitions/geoai-challenge-estimating-soil-parameters-from-hyperspectral-images?utm_medium=referral&amp;utm_source=mlcontest&amp;utm_campaign=compupdates</t>
  </si>
  <si>
    <t xml:space="preserve">19 Aug 2023</t>
  </si>
  <si>
    <t xml:space="preserve">12 Nov 2023</t>
  </si>
  <si>
    <t xml:space="preserve">CGIAR Crop Damage Classification Challenge</t>
  </si>
  <si>
    <t xml:space="preserve">https://zindi.africa/competitions/cgiar-crop-damage-classification-challenge?utm_medium=referral&amp;utm_source=mlcontest&amp;utm_campaign=compupdates</t>
  </si>
  <si>
    <t xml:space="preserve">27 Oct 2023</t>
  </si>
  <si>
    <t xml:space="preserve">28 Jan 2024</t>
  </si>
  <si>
    <t xml:space="preserve">IFPRI, ACRE Africa, KALRO, CGIAR</t>
  </si>
  <si>
    <t xml:space="preserve">Malawi Public Health Systems LLM Challenge</t>
  </si>
  <si>
    <t xml:space="preserve">https://zindi.africa/competitions/malawi-public-health-systems-llm-challenge?utm_medium=referral&amp;utm_source=mlcontest&amp;utm_campaign=compupdates</t>
  </si>
  <si>
    <t xml:space="preserve">4 Mar 2024</t>
  </si>
  <si>
    <t xml:space="preserve">Kuyesera AI Lab</t>
  </si>
  <si>
    <t xml:space="preserve">up to 5000</t>
  </si>
  <si>
    <t xml:space="preserve">up to 10000</t>
  </si>
  <si>
    <t xml:space="preserve">up to 50000</t>
  </si>
  <si>
    <t xml:space="preserve">more than 50000</t>
  </si>
  <si>
    <t xml:space="preserve">tags</t>
  </si>
  <si>
    <t xml:space="preserve">occurrence nb</t>
  </si>
  <si>
    <t xml:space="preserve">rl </t>
  </si>
  <si>
    <t xml:space="preserve">meta</t>
  </si>
  <si>
    <t xml:space="preserve">Codalab mains competitions prices range</t>
  </si>
  <si>
    <t xml:space="preserve">competition nb</t>
  </si>
  <si>
    <t xml:space="preserve">comp. Prices</t>
  </si>
  <si>
    <t xml:space="preserve">more than $50000</t>
  </si>
  <si>
    <t xml:space="preserve">up to $50000</t>
  </si>
  <si>
    <t xml:space="preserve">up to $10000</t>
  </si>
  <si>
    <t xml:space="preserve">up to $5000</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</si>
</sst>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
  </numFmts>
  <fonts count="7">
    <font>
      <sz val="11"/>
      <color rgb="FF000000"/>
      <name val="Calibri"/>
      <family val="2"/>
      <charset val="1"/>
    </font>
    <font>
      <sz val="10"/>
      <name val="Arial"/>
      <family val="0"/>
    </font>
    <font>
      <sz val="10"/>
      <name val="Arial"/>
      <family val="0"/>
    </font>
    <font>
      <sz val="10"/>
      <name val="Arial"/>
      <family val="0"/>
    </font>
    <font>
      <b val="true"/>
      <sz val="11"/>
      <name val="Arial"/>
      <family val="2"/>
    </font>
    <font>
      <sz val="10"/>
      <name val="Arial"/>
      <family val="2"/>
    </font>
    <font>
      <sz val="13"/>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7"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latin typeface="Arial"/>
              </a:defRPr>
            </a:pPr>
            <a:r>
              <a:rPr b="1" sz="1100" spc="-1" strike="noStrike">
                <a:latin typeface="Arial"/>
              </a:rPr>
              <a:t>2020-2023 ML-contest referenced Codalab competitions (total: 42)</a:t>
            </a:r>
          </a:p>
        </c:rich>
      </c:tx>
      <c:layout>
        <c:manualLayout>
          <c:xMode val="edge"/>
          <c:yMode val="edge"/>
          <c:x val="0.0397801786048835"/>
          <c:y val="0.0315004452359751"/>
        </c:manualLayout>
      </c:layout>
      <c:overlay val="0"/>
      <c:spPr>
        <a:noFill/>
        <a:ln w="0">
          <a:noFill/>
        </a:ln>
      </c:spPr>
    </c:title>
    <c:autoTitleDeleted val="0"/>
    <c:plotArea>
      <c:barChart>
        <c:barDir val="bar"/>
        <c:grouping val="clustered"/>
        <c:varyColors val="0"/>
        <c:ser>
          <c:idx val="0"/>
          <c:order val="0"/>
          <c:tx>
            <c:strRef>
              <c:f>Feuille2!$B$47</c:f>
              <c:strCache>
                <c:ptCount val="1"/>
                <c:pt idx="0">
                  <c:v>competition nb</c:v>
                </c:pt>
              </c:strCache>
            </c:strRef>
          </c:tx>
          <c:spPr>
            <a:solidFill>
              <a:srgbClr val="004586"/>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Feuille2!$A$48:$A$57</c:f>
              <c:strCache>
                <c:ptCount val="10"/>
                <c:pt idx="0">
                  <c:v>⚙️ Auto ML</c:v>
                </c:pt>
                <c:pt idx="1">
                  <c:v>🎲 Probabilistic ML</c:v>
                </c:pt>
                <c:pt idx="2">
                  <c:v>📈 Time Series Forecasting</c:v>
                </c:pt>
                <c:pt idx="3">
                  <c:v>🔤 NLP</c:v>
                </c:pt>
                <c:pt idx="4">
                  <c:v>➡️ Causal ML</c:v>
                </c:pt>
                <c:pt idx="5">
                  <c:v>🧠 Meta Learning</c:v>
                </c:pt>
                <c:pt idx="6">
                  <c:v>🤖 Reinforcement Learning</c:v>
                </c:pt>
                <c:pt idx="7">
                  <c:v>🕵 Security</c:v>
                </c:pt>
                <c:pt idx="8">
                  <c:v>✅ Supervised Learning</c:v>
                </c:pt>
                <c:pt idx="9">
                  <c:v>📷 Computer Vision</c:v>
                </c:pt>
              </c:strCache>
            </c:strRef>
          </c:cat>
          <c:val>
            <c:numRef>
              <c:f>Feuille2!$B$48:$B$57</c:f>
              <c:numCache>
                <c:formatCode>General</c:formatCode>
                <c:ptCount val="10"/>
                <c:pt idx="0">
                  <c:v>1</c:v>
                </c:pt>
                <c:pt idx="1">
                  <c:v>1</c:v>
                </c:pt>
                <c:pt idx="2">
                  <c:v>1</c:v>
                </c:pt>
                <c:pt idx="3">
                  <c:v>1</c:v>
                </c:pt>
                <c:pt idx="4">
                  <c:v>2</c:v>
                </c:pt>
                <c:pt idx="5">
                  <c:v>2</c:v>
                </c:pt>
                <c:pt idx="6">
                  <c:v>4</c:v>
                </c:pt>
                <c:pt idx="7">
                  <c:v>8</c:v>
                </c:pt>
                <c:pt idx="8">
                  <c:v>11</c:v>
                </c:pt>
                <c:pt idx="9">
                  <c:v>12</c:v>
                </c:pt>
              </c:numCache>
            </c:numRef>
          </c:val>
        </c:ser>
        <c:gapWidth val="100"/>
        <c:overlap val="0"/>
        <c:axId val="58030723"/>
        <c:axId val="51110757"/>
      </c:barChart>
      <c:catAx>
        <c:axId val="58030723"/>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sz="1000" spc="-1" strike="noStrike">
                <a:latin typeface="Arial"/>
              </a:defRPr>
            </a:pPr>
          </a:p>
        </c:txPr>
        <c:crossAx val="51110757"/>
        <c:crosses val="autoZero"/>
        <c:auto val="1"/>
        <c:lblAlgn val="ctr"/>
        <c:lblOffset val="100"/>
        <c:noMultiLvlLbl val="0"/>
      </c:catAx>
      <c:valAx>
        <c:axId val="51110757"/>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sz="1000" spc="-1" strike="noStrike">
                <a:latin typeface="Arial"/>
              </a:defRPr>
            </a:pPr>
          </a:p>
        </c:txPr>
        <c:crossAx val="58030723"/>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latin typeface="Arial"/>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Competition tags (several tags possible)</a:t>
            </a:r>
          </a:p>
        </c:rich>
      </c:tx>
      <c:overlay val="0"/>
      <c:spPr>
        <a:noFill/>
        <a:ln w="0">
          <a:noFill/>
        </a:ln>
      </c:spPr>
    </c:title>
    <c:autoTitleDeleted val="0"/>
    <c:plotArea>
      <c:barChart>
        <c:barDir val="bar"/>
        <c:grouping val="clustered"/>
        <c:varyColors val="0"/>
        <c:ser>
          <c:idx val="0"/>
          <c:order val="0"/>
          <c:tx>
            <c:strRef>
              <c:f>Feuille2!$AO$1:$AO$1</c:f>
              <c:strCache>
                <c:ptCount val="1"/>
                <c:pt idx="0">
                  <c:v>occurrence nb</c:v>
                </c:pt>
              </c:strCache>
            </c:strRef>
          </c:tx>
          <c:spPr>
            <a:solidFill>
              <a:srgbClr val="004586"/>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Feuille2!$AN$2:$AN$21</c:f>
              <c:strCache>
                <c:ptCount val="20"/>
                <c:pt idx="0">
                  <c:v>audio</c:v>
                </c:pt>
                <c:pt idx="1">
                  <c:v>automl</c:v>
                </c:pt>
                <c:pt idx="2">
                  <c:v>control</c:v>
                </c:pt>
                <c:pt idx="3">
                  <c:v>driving</c:v>
                </c:pt>
                <c:pt idx="4">
                  <c:v>graph</c:v>
                </c:pt>
                <c:pt idx="5">
                  <c:v>multimodal</c:v>
                </c:pt>
                <c:pt idx="6">
                  <c:v>tabular</c:v>
                </c:pt>
                <c:pt idx="7">
                  <c:v>causal</c:v>
                </c:pt>
                <c:pt idx="8">
                  <c:v>geo</c:v>
                </c:pt>
                <c:pt idx="9">
                  <c:v>medical</c:v>
                </c:pt>
                <c:pt idx="10">
                  <c:v>regression</c:v>
                </c:pt>
                <c:pt idx="11">
                  <c:v>timeseries</c:v>
                </c:pt>
                <c:pt idx="12">
                  <c:v>segmentation</c:v>
                </c:pt>
                <c:pt idx="13">
                  <c:v>generative</c:v>
                </c:pt>
                <c:pt idx="14">
                  <c:v>classification</c:v>
                </c:pt>
                <c:pt idx="15">
                  <c:v>nlp</c:v>
                </c:pt>
                <c:pt idx="16">
                  <c:v>security</c:v>
                </c:pt>
                <c:pt idx="17">
                  <c:v>vision</c:v>
                </c:pt>
                <c:pt idx="18">
                  <c:v>measurable</c:v>
                </c:pt>
                <c:pt idx="19">
                  <c:v>supervised</c:v>
                </c:pt>
              </c:strCache>
            </c:strRef>
          </c:cat>
          <c:val>
            <c:numRef>
              <c:f>Feuille2!$AO$2:$AO$21</c:f>
              <c:numCache>
                <c:formatCode>General</c:formatCode>
                <c:ptCount val="20"/>
                <c:pt idx="0">
                  <c:v>1</c:v>
                </c:pt>
                <c:pt idx="1">
                  <c:v>1</c:v>
                </c:pt>
                <c:pt idx="2">
                  <c:v>1</c:v>
                </c:pt>
                <c:pt idx="3">
                  <c:v>1</c:v>
                </c:pt>
                <c:pt idx="4">
                  <c:v>1</c:v>
                </c:pt>
                <c:pt idx="5">
                  <c:v>1</c:v>
                </c:pt>
                <c:pt idx="6">
                  <c:v>1</c:v>
                </c:pt>
                <c:pt idx="7">
                  <c:v>2</c:v>
                </c:pt>
                <c:pt idx="8">
                  <c:v>2</c:v>
                </c:pt>
                <c:pt idx="9">
                  <c:v>2</c:v>
                </c:pt>
                <c:pt idx="10">
                  <c:v>2</c:v>
                </c:pt>
                <c:pt idx="11">
                  <c:v>2</c:v>
                </c:pt>
                <c:pt idx="12">
                  <c:v>3</c:v>
                </c:pt>
                <c:pt idx="13">
                  <c:v>4</c:v>
                </c:pt>
                <c:pt idx="14">
                  <c:v>6</c:v>
                </c:pt>
                <c:pt idx="15">
                  <c:v>6</c:v>
                </c:pt>
                <c:pt idx="16">
                  <c:v>8</c:v>
                </c:pt>
                <c:pt idx="17">
                  <c:v>16</c:v>
                </c:pt>
                <c:pt idx="18">
                  <c:v>21</c:v>
                </c:pt>
                <c:pt idx="19">
                  <c:v>23</c:v>
                </c:pt>
              </c:numCache>
            </c:numRef>
          </c:val>
        </c:ser>
        <c:gapWidth val="100"/>
        <c:overlap val="0"/>
        <c:axId val="62116457"/>
        <c:axId val="73371321"/>
      </c:barChart>
      <c:catAx>
        <c:axId val="62116457"/>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sz="1000" spc="-1" strike="noStrike">
                <a:latin typeface="Arial"/>
              </a:defRPr>
            </a:pPr>
          </a:p>
        </c:txPr>
        <c:crossAx val="73371321"/>
        <c:crosses val="autoZero"/>
        <c:auto val="1"/>
        <c:lblAlgn val="ctr"/>
        <c:lblOffset val="100"/>
        <c:noMultiLvlLbl val="0"/>
      </c:catAx>
      <c:valAx>
        <c:axId val="73371321"/>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sz="1000" spc="-1" strike="noStrike">
                <a:latin typeface="Arial"/>
              </a:defRPr>
            </a:pPr>
          </a:p>
        </c:txPr>
        <c:crossAx val="62116457"/>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Codalab main competitions prices range</a:t>
            </a:r>
          </a:p>
        </c:rich>
      </c:tx>
      <c:overlay val="0"/>
      <c:spPr>
        <a:noFill/>
        <a:ln w="0">
          <a:noFill/>
        </a:ln>
      </c:spPr>
    </c:title>
    <c:autoTitleDeleted val="0"/>
    <c:plotArea>
      <c:barChart>
        <c:barDir val="bar"/>
        <c:grouping val="clustered"/>
        <c:varyColors val="0"/>
        <c:ser>
          <c:idx val="0"/>
          <c:order val="0"/>
          <c:tx>
            <c:strRef>
              <c:f>Feuille2!$AE$47</c:f>
              <c:strCache>
                <c:ptCount val="1"/>
                <c:pt idx="0">
                  <c:v>comp. Prices</c:v>
                </c:pt>
              </c:strCache>
            </c:strRef>
          </c:tx>
          <c:spPr>
            <a:solidFill>
              <a:srgbClr val="004586"/>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Feuille2!$AE$48:$AE$51</c:f>
              <c:strCache>
                <c:ptCount val="4"/>
                <c:pt idx="0">
                  <c:v>more than $50000</c:v>
                </c:pt>
                <c:pt idx="1">
                  <c:v>up to $50000</c:v>
                </c:pt>
                <c:pt idx="2">
                  <c:v>up to $10000</c:v>
                </c:pt>
                <c:pt idx="3">
                  <c:v>up to $5000</c:v>
                </c:pt>
              </c:strCache>
            </c:strRef>
          </c:cat>
          <c:val>
            <c:numRef>
              <c:f>Feuille2!$AF$48:$AF$51</c:f>
              <c:numCache>
                <c:formatCode>General</c:formatCode>
                <c:ptCount val="4"/>
                <c:pt idx="0">
                  <c:v>3</c:v>
                </c:pt>
                <c:pt idx="1">
                  <c:v>9</c:v>
                </c:pt>
                <c:pt idx="2">
                  <c:v>12</c:v>
                </c:pt>
                <c:pt idx="3">
                  <c:v>13</c:v>
                </c:pt>
              </c:numCache>
            </c:numRef>
          </c:val>
        </c:ser>
        <c:gapWidth val="100"/>
        <c:overlap val="0"/>
        <c:axId val="1447097"/>
        <c:axId val="91347587"/>
      </c:barChart>
      <c:catAx>
        <c:axId val="1447097"/>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91347587"/>
        <c:crosses val="autoZero"/>
        <c:auto val="1"/>
        <c:lblAlgn val="ctr"/>
        <c:lblOffset val="100"/>
        <c:noMultiLvlLbl val="0"/>
      </c:catAx>
      <c:valAx>
        <c:axId val="91347587"/>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1447097"/>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764280</xdr:colOff>
      <xdr:row>45</xdr:row>
      <xdr:rowOff>23400</xdr:rowOff>
    </xdr:from>
    <xdr:to>
      <xdr:col>12</xdr:col>
      <xdr:colOff>527760</xdr:colOff>
      <xdr:row>63</xdr:row>
      <xdr:rowOff>102600</xdr:rowOff>
    </xdr:to>
    <xdr:graphicFrame>
      <xdr:nvGraphicFramePr>
        <xdr:cNvPr id="0" name=""/>
        <xdr:cNvGraphicFramePr/>
      </xdr:nvGraphicFramePr>
      <xdr:xfrm>
        <a:off x="4170960" y="7910280"/>
        <a:ext cx="5764320" cy="3233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262440</xdr:colOff>
      <xdr:row>44</xdr:row>
      <xdr:rowOff>151200</xdr:rowOff>
    </xdr:from>
    <xdr:to>
      <xdr:col>23</xdr:col>
      <xdr:colOff>329040</xdr:colOff>
      <xdr:row>71</xdr:row>
      <xdr:rowOff>174600</xdr:rowOff>
    </xdr:to>
    <xdr:graphicFrame>
      <xdr:nvGraphicFramePr>
        <xdr:cNvPr id="1" name=""/>
        <xdr:cNvGraphicFramePr/>
      </xdr:nvGraphicFramePr>
      <xdr:xfrm>
        <a:off x="12922560" y="7862760"/>
        <a:ext cx="5760360" cy="4755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383040</xdr:colOff>
      <xdr:row>49</xdr:row>
      <xdr:rowOff>95400</xdr:rowOff>
    </xdr:from>
    <xdr:to>
      <xdr:col>28</xdr:col>
      <xdr:colOff>12240</xdr:colOff>
      <xdr:row>64</xdr:row>
      <xdr:rowOff>71640</xdr:rowOff>
    </xdr:to>
    <xdr:graphicFrame>
      <xdr:nvGraphicFramePr>
        <xdr:cNvPr id="2" name=""/>
        <xdr:cNvGraphicFramePr/>
      </xdr:nvGraphicFramePr>
      <xdr:xfrm>
        <a:off x="18736920" y="8683200"/>
        <a:ext cx="3696480" cy="26049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54296875" defaultRowHeight="15" zeroHeight="false" outlineLevelRow="0" outlineLevelCol="0"/>
  <cols>
    <col collapsed="false" customWidth="true" hidden="false" outlineLevel="0" max="1" min="1" style="0" width="30.09"/>
    <col collapsed="false" customWidth="true" hidden="false" outlineLevel="0" max="2" min="2" style="0" width="26.13"/>
    <col collapsed="false" customWidth="true" hidden="false" outlineLevel="0" max="4" min="4" style="0" width="26.57"/>
    <col collapsed="false" customWidth="true" hidden="false" outlineLevel="0" max="25" min="25" style="0" width="16.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3.8" hidden="false" customHeight="false" outlineLevel="0" collapsed="false">
      <c r="A2" s="1" t="s">
        <v>32</v>
      </c>
      <c r="B2" s="1" t="s">
        <v>33</v>
      </c>
      <c r="D2" s="1" t="s">
        <v>34</v>
      </c>
      <c r="E2" s="1" t="s">
        <v>35</v>
      </c>
      <c r="F2" s="1" t="s">
        <v>36</v>
      </c>
      <c r="G2" s="1" t="s">
        <v>37</v>
      </c>
      <c r="H2" s="1" t="s">
        <v>38</v>
      </c>
      <c r="Q2" s="2" t="s">
        <v>39</v>
      </c>
      <c r="S2" s="2" t="s">
        <v>40</v>
      </c>
      <c r="T2" s="2" t="s">
        <v>41</v>
      </c>
      <c r="V2" s="1" t="s">
        <v>42</v>
      </c>
      <c r="X2" s="1" t="s">
        <v>43</v>
      </c>
      <c r="Y2" s="1" t="s">
        <v>44</v>
      </c>
      <c r="AB2" s="1" t="s">
        <v>45</v>
      </c>
      <c r="AC2" s="1" t="s">
        <v>45</v>
      </c>
      <c r="AE2" s="1" t="s">
        <v>45</v>
      </c>
    </row>
    <row r="3" customFormat="false" ht="13.8" hidden="false" customHeight="false" outlineLevel="0" collapsed="false">
      <c r="A3" s="1" t="s">
        <v>46</v>
      </c>
      <c r="B3" s="1" t="s">
        <v>47</v>
      </c>
      <c r="D3" s="1" t="s">
        <v>34</v>
      </c>
      <c r="E3" s="1" t="s">
        <v>36</v>
      </c>
      <c r="F3" s="1" t="s">
        <v>37</v>
      </c>
      <c r="G3" s="1" t="s">
        <v>38</v>
      </c>
      <c r="H3" s="1" t="s">
        <v>35</v>
      </c>
      <c r="Q3" s="2" t="s">
        <v>39</v>
      </c>
      <c r="S3" s="2" t="s">
        <v>40</v>
      </c>
      <c r="T3" s="2" t="s">
        <v>41</v>
      </c>
      <c r="V3" s="1" t="s">
        <v>48</v>
      </c>
      <c r="X3" s="1" t="s">
        <v>43</v>
      </c>
      <c r="Y3" s="1" t="s">
        <v>44</v>
      </c>
      <c r="AB3" s="1" t="s">
        <v>45</v>
      </c>
      <c r="AC3" s="1" t="s">
        <v>45</v>
      </c>
      <c r="AE3" s="1" t="s">
        <v>45</v>
      </c>
    </row>
    <row r="4" customFormat="false" ht="13.8" hidden="false" customHeight="false" outlineLevel="0" collapsed="false">
      <c r="A4" s="1" t="s">
        <v>49</v>
      </c>
      <c r="B4" s="1" t="s">
        <v>50</v>
      </c>
      <c r="D4" s="1" t="s">
        <v>51</v>
      </c>
      <c r="E4" s="1" t="s">
        <v>52</v>
      </c>
      <c r="F4" s="1" t="s">
        <v>53</v>
      </c>
      <c r="G4" s="1" t="s">
        <v>38</v>
      </c>
      <c r="Q4" s="2" t="s">
        <v>54</v>
      </c>
      <c r="S4" s="2" t="s">
        <v>55</v>
      </c>
      <c r="T4" s="2" t="s">
        <v>56</v>
      </c>
      <c r="V4" s="1" t="s">
        <v>57</v>
      </c>
      <c r="X4" s="1" t="s">
        <v>43</v>
      </c>
      <c r="Y4" s="1" t="s">
        <v>58</v>
      </c>
      <c r="AB4" s="1" t="s">
        <v>59</v>
      </c>
      <c r="AC4" s="1" t="s">
        <v>60</v>
      </c>
    </row>
    <row r="5" customFormat="false" ht="13.8" hidden="false" customHeight="false" outlineLevel="0" collapsed="false">
      <c r="A5" s="1" t="s">
        <v>61</v>
      </c>
      <c r="B5" s="1" t="s">
        <v>62</v>
      </c>
      <c r="D5" s="1" t="s">
        <v>63</v>
      </c>
      <c r="E5" s="1" t="s">
        <v>38</v>
      </c>
      <c r="F5" s="1" t="s">
        <v>35</v>
      </c>
      <c r="G5" s="1" t="s">
        <v>64</v>
      </c>
      <c r="H5" s="1" t="s">
        <v>65</v>
      </c>
      <c r="I5" s="1" t="s">
        <v>66</v>
      </c>
      <c r="Q5" s="2" t="s">
        <v>67</v>
      </c>
      <c r="S5" s="2" t="s">
        <v>68</v>
      </c>
      <c r="T5" s="2" t="s">
        <v>69</v>
      </c>
      <c r="V5" s="1" t="s">
        <v>70</v>
      </c>
      <c r="X5" s="1" t="s">
        <v>43</v>
      </c>
      <c r="Y5" s="1" t="s">
        <v>71</v>
      </c>
      <c r="AB5" s="1" t="s">
        <v>59</v>
      </c>
      <c r="AC5" s="1" t="s">
        <v>60</v>
      </c>
    </row>
    <row r="6" customFormat="false" ht="13.8" hidden="false" customHeight="false" outlineLevel="0" collapsed="false">
      <c r="A6" s="1" t="s">
        <v>72</v>
      </c>
      <c r="B6" s="1" t="s">
        <v>73</v>
      </c>
      <c r="D6" s="1" t="s">
        <v>51</v>
      </c>
      <c r="E6" s="1" t="s">
        <v>38</v>
      </c>
      <c r="F6" s="1" t="s">
        <v>52</v>
      </c>
      <c r="G6" s="1" t="s">
        <v>64</v>
      </c>
      <c r="H6" s="1" t="s">
        <v>74</v>
      </c>
      <c r="I6" s="1" t="s">
        <v>75</v>
      </c>
      <c r="Q6" s="2" t="s">
        <v>67</v>
      </c>
      <c r="S6" s="2" t="s">
        <v>68</v>
      </c>
      <c r="T6" s="2" t="s">
        <v>69</v>
      </c>
      <c r="V6" s="1" t="s">
        <v>70</v>
      </c>
      <c r="X6" s="1" t="s">
        <v>43</v>
      </c>
      <c r="Y6" s="1" t="s">
        <v>71</v>
      </c>
      <c r="AB6" s="1" t="s">
        <v>59</v>
      </c>
      <c r="AC6" s="1" t="s">
        <v>60</v>
      </c>
    </row>
    <row r="7" customFormat="false" ht="13.8" hidden="false" customHeight="false" outlineLevel="0" collapsed="false">
      <c r="A7" s="1" t="s">
        <v>76</v>
      </c>
      <c r="B7" s="1" t="s">
        <v>77</v>
      </c>
      <c r="D7" s="1" t="s">
        <v>78</v>
      </c>
      <c r="E7" s="1" t="s">
        <v>79</v>
      </c>
      <c r="F7" s="1" t="s">
        <v>80</v>
      </c>
      <c r="G7" s="1" t="s">
        <v>38</v>
      </c>
      <c r="H7" s="1" t="s">
        <v>81</v>
      </c>
      <c r="I7" s="1" t="s">
        <v>35</v>
      </c>
      <c r="Q7" s="2" t="s">
        <v>82</v>
      </c>
      <c r="S7" s="2" t="s">
        <v>83</v>
      </c>
      <c r="T7" s="2" t="s">
        <v>84</v>
      </c>
      <c r="V7" s="1" t="s">
        <v>85</v>
      </c>
      <c r="X7" s="1" t="s">
        <v>43</v>
      </c>
      <c r="Y7" s="1" t="s">
        <v>86</v>
      </c>
      <c r="AB7" s="1" t="s">
        <v>87</v>
      </c>
      <c r="AC7" s="1" t="s">
        <v>88</v>
      </c>
    </row>
    <row r="8" customFormat="false" ht="13.8" hidden="false" customHeight="false" outlineLevel="0" collapsed="false">
      <c r="A8" s="1" t="s">
        <v>89</v>
      </c>
      <c r="B8" s="1" t="s">
        <v>90</v>
      </c>
      <c r="D8" s="1" t="s">
        <v>34</v>
      </c>
      <c r="E8" s="1" t="s">
        <v>36</v>
      </c>
      <c r="F8" s="1" t="s">
        <v>38</v>
      </c>
      <c r="G8" s="1" t="s">
        <v>91</v>
      </c>
      <c r="H8" s="1" t="s">
        <v>92</v>
      </c>
      <c r="I8" s="1" t="s">
        <v>93</v>
      </c>
      <c r="Q8" s="2" t="s">
        <v>94</v>
      </c>
      <c r="S8" s="2" t="s">
        <v>95</v>
      </c>
      <c r="T8" s="2" t="s">
        <v>95</v>
      </c>
      <c r="V8" s="1" t="s">
        <v>96</v>
      </c>
      <c r="X8" s="1" t="s">
        <v>43</v>
      </c>
      <c r="Y8" s="1" t="s">
        <v>97</v>
      </c>
      <c r="AB8" s="1" t="s">
        <v>45</v>
      </c>
      <c r="AC8" s="1" t="s">
        <v>45</v>
      </c>
      <c r="AE8" s="1" t="s">
        <v>45</v>
      </c>
    </row>
    <row r="9" customFormat="false" ht="13.8" hidden="false" customHeight="false" outlineLevel="0" collapsed="false">
      <c r="A9" s="1" t="s">
        <v>98</v>
      </c>
      <c r="B9" s="1" t="s">
        <v>99</v>
      </c>
      <c r="D9" s="1" t="s">
        <v>34</v>
      </c>
      <c r="E9" s="1" t="s">
        <v>35</v>
      </c>
      <c r="F9" s="1" t="s">
        <v>81</v>
      </c>
      <c r="G9" s="1" t="s">
        <v>38</v>
      </c>
      <c r="H9" s="1" t="s">
        <v>100</v>
      </c>
      <c r="I9" s="1" t="s">
        <v>36</v>
      </c>
      <c r="J9" s="1" t="s">
        <v>101</v>
      </c>
      <c r="Q9" s="2" t="s">
        <v>102</v>
      </c>
      <c r="T9" s="2" t="s">
        <v>103</v>
      </c>
      <c r="V9" s="1" t="s">
        <v>104</v>
      </c>
      <c r="X9" s="1" t="s">
        <v>43</v>
      </c>
      <c r="Y9" s="1" t="s">
        <v>105</v>
      </c>
      <c r="AB9" s="1" t="s">
        <v>45</v>
      </c>
      <c r="AC9" s="1" t="s">
        <v>45</v>
      </c>
      <c r="AE9" s="1" t="s">
        <v>106</v>
      </c>
    </row>
    <row r="10" customFormat="false" ht="13.8" hidden="false" customHeight="false" outlineLevel="0" collapsed="false">
      <c r="A10" s="1" t="s">
        <v>107</v>
      </c>
      <c r="B10" s="1" t="s">
        <v>108</v>
      </c>
      <c r="D10" s="1" t="s">
        <v>34</v>
      </c>
      <c r="E10" s="1" t="s">
        <v>35</v>
      </c>
      <c r="F10" s="1" t="s">
        <v>81</v>
      </c>
      <c r="G10" s="1" t="s">
        <v>38</v>
      </c>
      <c r="H10" s="1" t="s">
        <v>100</v>
      </c>
      <c r="I10" s="1" t="s">
        <v>36</v>
      </c>
      <c r="J10" s="1" t="s">
        <v>101</v>
      </c>
      <c r="Q10" s="2" t="s">
        <v>102</v>
      </c>
      <c r="T10" s="2" t="s">
        <v>103</v>
      </c>
      <c r="V10" s="1" t="s">
        <v>104</v>
      </c>
      <c r="X10" s="1" t="s">
        <v>43</v>
      </c>
      <c r="Y10" s="1" t="s">
        <v>105</v>
      </c>
      <c r="AB10" s="1" t="s">
        <v>45</v>
      </c>
      <c r="AC10" s="1" t="s">
        <v>45</v>
      </c>
      <c r="AE10" s="1" t="s">
        <v>106</v>
      </c>
    </row>
    <row r="11" customFormat="false" ht="13.8" hidden="false" customHeight="false" outlineLevel="0" collapsed="false">
      <c r="A11" s="1" t="s">
        <v>109</v>
      </c>
      <c r="B11" s="1" t="s">
        <v>110</v>
      </c>
      <c r="D11" s="1" t="s">
        <v>34</v>
      </c>
      <c r="E11" s="1" t="s">
        <v>35</v>
      </c>
      <c r="F11" s="1" t="s">
        <v>81</v>
      </c>
      <c r="G11" s="1" t="s">
        <v>38</v>
      </c>
      <c r="H11" s="1" t="s">
        <v>100</v>
      </c>
      <c r="I11" s="1" t="s">
        <v>36</v>
      </c>
      <c r="J11" s="1" t="s">
        <v>101</v>
      </c>
      <c r="Q11" s="2" t="s">
        <v>102</v>
      </c>
      <c r="T11" s="2" t="s">
        <v>103</v>
      </c>
      <c r="V11" s="1" t="s">
        <v>104</v>
      </c>
      <c r="X11" s="1" t="s">
        <v>43</v>
      </c>
      <c r="Y11" s="1" t="s">
        <v>105</v>
      </c>
      <c r="AB11" s="1" t="s">
        <v>45</v>
      </c>
      <c r="AC11" s="1" t="s">
        <v>45</v>
      </c>
      <c r="AE11" s="1" t="s">
        <v>106</v>
      </c>
    </row>
    <row r="12" customFormat="false" ht="13.8" hidden="false" customHeight="false" outlineLevel="0" collapsed="false">
      <c r="A12" s="1" t="s">
        <v>111</v>
      </c>
      <c r="B12" s="1" t="s">
        <v>112</v>
      </c>
      <c r="D12" s="1" t="s">
        <v>78</v>
      </c>
      <c r="E12" s="1" t="s">
        <v>79</v>
      </c>
      <c r="F12" s="1" t="s">
        <v>35</v>
      </c>
      <c r="G12" s="1" t="s">
        <v>113</v>
      </c>
      <c r="H12" s="1" t="s">
        <v>38</v>
      </c>
      <c r="Q12" s="2" t="s">
        <v>114</v>
      </c>
      <c r="S12" s="2" t="s">
        <v>115</v>
      </c>
      <c r="T12" s="2" t="s">
        <v>116</v>
      </c>
      <c r="V12" s="1" t="s">
        <v>117</v>
      </c>
      <c r="X12" s="1" t="s">
        <v>43</v>
      </c>
      <c r="Y12" s="1" t="s">
        <v>43</v>
      </c>
      <c r="AB12" s="1" t="s">
        <v>45</v>
      </c>
      <c r="AC12" s="1" t="s">
        <v>45</v>
      </c>
    </row>
    <row r="13" customFormat="false" ht="13.8" hidden="false" customHeight="false" outlineLevel="0" collapsed="false">
      <c r="A13" s="1" t="s">
        <v>118</v>
      </c>
      <c r="B13" s="1" t="s">
        <v>119</v>
      </c>
      <c r="D13" s="1" t="s">
        <v>78</v>
      </c>
      <c r="E13" s="1" t="s">
        <v>79</v>
      </c>
      <c r="F13" s="1" t="s">
        <v>35</v>
      </c>
      <c r="G13" s="1" t="s">
        <v>80</v>
      </c>
      <c r="H13" s="1" t="s">
        <v>38</v>
      </c>
      <c r="Q13" s="2" t="s">
        <v>120</v>
      </c>
      <c r="S13" s="2" t="s">
        <v>121</v>
      </c>
      <c r="T13" s="2" t="s">
        <v>121</v>
      </c>
      <c r="V13" s="1" t="s">
        <v>122</v>
      </c>
      <c r="X13" s="1" t="s">
        <v>43</v>
      </c>
      <c r="Y13" s="1" t="s">
        <v>105</v>
      </c>
      <c r="AB13" s="1" t="s">
        <v>45</v>
      </c>
      <c r="AC13" s="1" t="s">
        <v>45</v>
      </c>
    </row>
    <row r="14" customFormat="false" ht="13.8" hidden="false" customHeight="false" outlineLevel="0" collapsed="false">
      <c r="A14" s="1" t="s">
        <v>123</v>
      </c>
      <c r="B14" s="1" t="s">
        <v>124</v>
      </c>
      <c r="D14" s="1" t="s">
        <v>78</v>
      </c>
      <c r="E14" s="1" t="s">
        <v>79</v>
      </c>
      <c r="F14" s="1" t="s">
        <v>35</v>
      </c>
      <c r="G14" s="1" t="s">
        <v>66</v>
      </c>
      <c r="H14" s="1" t="s">
        <v>38</v>
      </c>
      <c r="Q14" s="2" t="s">
        <v>120</v>
      </c>
      <c r="S14" s="2" t="s">
        <v>121</v>
      </c>
      <c r="T14" s="2" t="s">
        <v>121</v>
      </c>
      <c r="V14" s="1" t="s">
        <v>122</v>
      </c>
      <c r="X14" s="1" t="s">
        <v>43</v>
      </c>
      <c r="Y14" s="1" t="s">
        <v>105</v>
      </c>
      <c r="AB14" s="1" t="s">
        <v>45</v>
      </c>
      <c r="AC14" s="1" t="s">
        <v>45</v>
      </c>
    </row>
    <row r="15" customFormat="false" ht="13.8" hidden="false" customHeight="false" outlineLevel="0" collapsed="false">
      <c r="A15" s="1" t="s">
        <v>125</v>
      </c>
      <c r="B15" s="1" t="s">
        <v>126</v>
      </c>
      <c r="D15" s="1" t="s">
        <v>127</v>
      </c>
      <c r="E15" s="1" t="s">
        <v>35</v>
      </c>
      <c r="F15" s="1" t="s">
        <v>128</v>
      </c>
      <c r="G15" s="1" t="s">
        <v>80</v>
      </c>
      <c r="H15" s="1" t="s">
        <v>38</v>
      </c>
      <c r="M15" s="1" t="s">
        <v>129</v>
      </c>
      <c r="Q15" s="2" t="s">
        <v>130</v>
      </c>
      <c r="S15" s="2" t="s">
        <v>131</v>
      </c>
      <c r="T15" s="2" t="s">
        <v>132</v>
      </c>
      <c r="V15" s="1" t="s">
        <v>133</v>
      </c>
      <c r="X15" s="1" t="s">
        <v>43</v>
      </c>
      <c r="Y15" s="1" t="s">
        <v>134</v>
      </c>
      <c r="AB15" s="1" t="s">
        <v>45</v>
      </c>
      <c r="AC15" s="1" t="s">
        <v>45</v>
      </c>
    </row>
    <row r="16" customFormat="false" ht="13.8" hidden="false" customHeight="false" outlineLevel="0" collapsed="false">
      <c r="A16" s="1" t="s">
        <v>135</v>
      </c>
      <c r="B16" s="1" t="s">
        <v>136</v>
      </c>
      <c r="D16" s="1" t="s">
        <v>127</v>
      </c>
      <c r="E16" s="1" t="s">
        <v>35</v>
      </c>
      <c r="F16" s="1" t="s">
        <v>128</v>
      </c>
      <c r="G16" s="1" t="s">
        <v>80</v>
      </c>
      <c r="H16" s="1" t="s">
        <v>38</v>
      </c>
      <c r="M16" s="1" t="s">
        <v>129</v>
      </c>
      <c r="Q16" s="2" t="s">
        <v>130</v>
      </c>
      <c r="S16" s="2" t="s">
        <v>131</v>
      </c>
      <c r="T16" s="2" t="s">
        <v>132</v>
      </c>
      <c r="V16" s="1" t="s">
        <v>48</v>
      </c>
      <c r="X16" s="1" t="s">
        <v>43</v>
      </c>
      <c r="Y16" s="1" t="s">
        <v>134</v>
      </c>
      <c r="AB16" s="1" t="s">
        <v>45</v>
      </c>
      <c r="AC16" s="1" t="s">
        <v>45</v>
      </c>
    </row>
    <row r="17" customFormat="false" ht="13.8" hidden="false" customHeight="false" outlineLevel="0" collapsed="false">
      <c r="A17" s="1" t="s">
        <v>137</v>
      </c>
      <c r="B17" s="1" t="s">
        <v>138</v>
      </c>
      <c r="D17" s="1" t="s">
        <v>51</v>
      </c>
      <c r="T17" s="2" t="s">
        <v>139</v>
      </c>
      <c r="V17" s="1" t="s">
        <v>140</v>
      </c>
      <c r="X17" s="1" t="s">
        <v>43</v>
      </c>
      <c r="Y17" s="1" t="s">
        <v>141</v>
      </c>
      <c r="AB17" s="1" t="s">
        <v>59</v>
      </c>
      <c r="AC17" s="1" t="s">
        <v>142</v>
      </c>
    </row>
    <row r="18" customFormat="false" ht="13.8" hidden="false" customHeight="false" outlineLevel="0" collapsed="false">
      <c r="A18" s="1" t="s">
        <v>143</v>
      </c>
      <c r="B18" s="1" t="s">
        <v>144</v>
      </c>
      <c r="D18" s="1" t="s">
        <v>51</v>
      </c>
      <c r="M18" s="1" t="s">
        <v>145</v>
      </c>
      <c r="N18" s="1" t="s">
        <v>146</v>
      </c>
      <c r="T18" s="2" t="s">
        <v>147</v>
      </c>
      <c r="V18" s="1" t="s">
        <v>85</v>
      </c>
      <c r="X18" s="1" t="s">
        <v>43</v>
      </c>
      <c r="Y18" s="1" t="s">
        <v>148</v>
      </c>
      <c r="AB18" s="1" t="s">
        <v>59</v>
      </c>
      <c r="AC18" s="1" t="s">
        <v>142</v>
      </c>
    </row>
    <row r="19" customFormat="false" ht="13.8" hidden="false" customHeight="false" outlineLevel="0" collapsed="false">
      <c r="A19" s="1" t="s">
        <v>149</v>
      </c>
      <c r="B19" s="1" t="s">
        <v>150</v>
      </c>
      <c r="D19" s="1" t="s">
        <v>34</v>
      </c>
      <c r="M19" s="1" t="s">
        <v>145</v>
      </c>
      <c r="N19" s="1" t="s">
        <v>146</v>
      </c>
      <c r="T19" s="2" t="s">
        <v>147</v>
      </c>
      <c r="V19" s="1" t="s">
        <v>85</v>
      </c>
      <c r="X19" s="1" t="s">
        <v>43</v>
      </c>
      <c r="Y19" s="1" t="s">
        <v>148</v>
      </c>
      <c r="AB19" s="1" t="s">
        <v>59</v>
      </c>
      <c r="AC19" s="1" t="s">
        <v>142</v>
      </c>
    </row>
    <row r="20" customFormat="false" ht="13.8" hidden="false" customHeight="false" outlineLevel="0" collapsed="false">
      <c r="A20" s="1" t="s">
        <v>151</v>
      </c>
      <c r="B20" s="1" t="s">
        <v>152</v>
      </c>
      <c r="D20" s="1" t="s">
        <v>51</v>
      </c>
      <c r="E20" s="1" t="s">
        <v>52</v>
      </c>
      <c r="F20" s="1" t="s">
        <v>38</v>
      </c>
      <c r="G20" s="1" t="s">
        <v>153</v>
      </c>
      <c r="T20" s="2" t="s">
        <v>154</v>
      </c>
      <c r="V20" s="1" t="s">
        <v>155</v>
      </c>
      <c r="X20" s="1" t="s">
        <v>43</v>
      </c>
      <c r="Y20" s="1" t="s">
        <v>156</v>
      </c>
      <c r="AB20" s="1" t="s">
        <v>59</v>
      </c>
      <c r="AC20" s="1" t="s">
        <v>142</v>
      </c>
    </row>
    <row r="21" customFormat="false" ht="13.8" hidden="false" customHeight="false" outlineLevel="0" collapsed="false">
      <c r="A21" s="1" t="s">
        <v>157</v>
      </c>
      <c r="B21" s="1" t="s">
        <v>158</v>
      </c>
      <c r="D21" s="1" t="s">
        <v>51</v>
      </c>
      <c r="T21" s="2" t="s">
        <v>159</v>
      </c>
      <c r="V21" s="1" t="s">
        <v>117</v>
      </c>
      <c r="X21" s="1" t="s">
        <v>43</v>
      </c>
      <c r="Y21" s="1" t="s">
        <v>160</v>
      </c>
      <c r="AB21" s="1" t="s">
        <v>59</v>
      </c>
      <c r="AC21" s="1" t="s">
        <v>142</v>
      </c>
    </row>
    <row r="22" customFormat="false" ht="13.8" hidden="false" customHeight="false" outlineLevel="0" collapsed="false">
      <c r="A22" s="1" t="s">
        <v>161</v>
      </c>
      <c r="B22" s="1" t="s">
        <v>162</v>
      </c>
      <c r="D22" s="1" t="s">
        <v>78</v>
      </c>
      <c r="T22" s="2" t="s">
        <v>163</v>
      </c>
      <c r="V22" s="1" t="s">
        <v>164</v>
      </c>
      <c r="X22" s="1" t="s">
        <v>43</v>
      </c>
      <c r="Y22" s="1" t="s">
        <v>165</v>
      </c>
      <c r="AB22" s="1" t="s">
        <v>166</v>
      </c>
      <c r="AC22" s="1" t="s">
        <v>142</v>
      </c>
    </row>
    <row r="23" customFormat="false" ht="13.8" hidden="false" customHeight="false" outlineLevel="0" collapsed="false">
      <c r="A23" s="1" t="s">
        <v>167</v>
      </c>
      <c r="B23" s="1" t="s">
        <v>168</v>
      </c>
      <c r="D23" s="1" t="s">
        <v>78</v>
      </c>
      <c r="T23" s="2" t="s">
        <v>163</v>
      </c>
      <c r="V23" s="1" t="s">
        <v>164</v>
      </c>
      <c r="X23" s="1" t="s">
        <v>43</v>
      </c>
      <c r="Y23" s="1" t="s">
        <v>165</v>
      </c>
      <c r="AB23" s="1" t="s">
        <v>166</v>
      </c>
      <c r="AC23" s="1" t="s">
        <v>142</v>
      </c>
    </row>
    <row r="24" customFormat="false" ht="13.8" hidden="false" customHeight="false" outlineLevel="0" collapsed="false">
      <c r="A24" s="1" t="s">
        <v>169</v>
      </c>
      <c r="B24" s="1" t="s">
        <v>170</v>
      </c>
      <c r="D24" s="1" t="s">
        <v>34</v>
      </c>
      <c r="Q24" s="1" t="s">
        <v>45</v>
      </c>
      <c r="T24" s="2" t="s">
        <v>171</v>
      </c>
      <c r="V24" s="1" t="s">
        <v>172</v>
      </c>
      <c r="X24" s="1" t="s">
        <v>43</v>
      </c>
      <c r="Y24" s="1" t="s">
        <v>173</v>
      </c>
      <c r="AB24" s="1" t="s">
        <v>45</v>
      </c>
      <c r="AC24" s="1" t="s">
        <v>45</v>
      </c>
    </row>
    <row r="25" customFormat="false" ht="13.8" hidden="false" customHeight="false" outlineLevel="0" collapsed="false">
      <c r="A25" s="1" t="s">
        <v>174</v>
      </c>
      <c r="B25" s="1" t="s">
        <v>175</v>
      </c>
      <c r="D25" s="1" t="s">
        <v>51</v>
      </c>
      <c r="Q25" s="1" t="s">
        <v>45</v>
      </c>
      <c r="T25" s="2" t="s">
        <v>176</v>
      </c>
      <c r="V25" s="1" t="s">
        <v>140</v>
      </c>
      <c r="X25" s="1" t="s">
        <v>43</v>
      </c>
      <c r="Y25" s="1" t="s">
        <v>177</v>
      </c>
      <c r="AB25" s="1" t="s">
        <v>178</v>
      </c>
      <c r="AC25" s="1" t="s">
        <v>142</v>
      </c>
    </row>
    <row r="26" customFormat="false" ht="13.8" hidden="false" customHeight="false" outlineLevel="0" collapsed="false">
      <c r="A26" s="1" t="s">
        <v>179</v>
      </c>
      <c r="B26" s="1" t="s">
        <v>180</v>
      </c>
      <c r="D26" s="1" t="s">
        <v>34</v>
      </c>
      <c r="E26" s="1" t="s">
        <v>181</v>
      </c>
      <c r="F26" s="1" t="s">
        <v>35</v>
      </c>
      <c r="G26" s="1" t="s">
        <v>38</v>
      </c>
      <c r="H26" s="1" t="s">
        <v>100</v>
      </c>
      <c r="I26" s="1" t="s">
        <v>113</v>
      </c>
      <c r="J26" s="1" t="s">
        <v>36</v>
      </c>
      <c r="Q26" s="2" t="s">
        <v>182</v>
      </c>
      <c r="T26" s="2" t="s">
        <v>176</v>
      </c>
      <c r="V26" s="1" t="s">
        <v>104</v>
      </c>
      <c r="X26" s="1" t="s">
        <v>43</v>
      </c>
      <c r="Y26" s="1" t="s">
        <v>105</v>
      </c>
      <c r="AB26" s="1" t="s">
        <v>45</v>
      </c>
      <c r="AC26" s="1" t="s">
        <v>45</v>
      </c>
    </row>
    <row r="27" customFormat="false" ht="13.8" hidden="false" customHeight="false" outlineLevel="0" collapsed="false">
      <c r="A27" s="1" t="s">
        <v>183</v>
      </c>
      <c r="B27" s="1" t="s">
        <v>180</v>
      </c>
      <c r="D27" s="1" t="s">
        <v>34</v>
      </c>
      <c r="E27" s="1" t="s">
        <v>35</v>
      </c>
      <c r="F27" s="1" t="s">
        <v>81</v>
      </c>
      <c r="G27" s="1" t="s">
        <v>38</v>
      </c>
      <c r="H27" s="1" t="s">
        <v>100</v>
      </c>
      <c r="I27" s="1" t="s">
        <v>36</v>
      </c>
      <c r="J27" s="1" t="s">
        <v>101</v>
      </c>
      <c r="Q27" s="2" t="s">
        <v>182</v>
      </c>
      <c r="T27" s="2" t="s">
        <v>176</v>
      </c>
      <c r="V27" s="1" t="s">
        <v>104</v>
      </c>
      <c r="X27" s="1" t="s">
        <v>43</v>
      </c>
      <c r="Y27" s="1" t="s">
        <v>105</v>
      </c>
      <c r="AB27" s="1" t="s">
        <v>45</v>
      </c>
      <c r="AC27" s="1" t="s">
        <v>45</v>
      </c>
    </row>
    <row r="28" customFormat="false" ht="13.8" hidden="false" customHeight="false" outlineLevel="0" collapsed="false">
      <c r="A28" s="1" t="s">
        <v>184</v>
      </c>
      <c r="B28" s="1" t="s">
        <v>180</v>
      </c>
      <c r="D28" s="1" t="s">
        <v>34</v>
      </c>
      <c r="E28" s="1" t="s">
        <v>35</v>
      </c>
      <c r="F28" s="1" t="s">
        <v>81</v>
      </c>
      <c r="G28" s="1" t="s">
        <v>38</v>
      </c>
      <c r="H28" s="1" t="s">
        <v>100</v>
      </c>
      <c r="I28" s="1" t="s">
        <v>36</v>
      </c>
      <c r="J28" s="1" t="s">
        <v>101</v>
      </c>
      <c r="Q28" s="2" t="s">
        <v>182</v>
      </c>
      <c r="T28" s="2" t="s">
        <v>176</v>
      </c>
      <c r="V28" s="1" t="s">
        <v>104</v>
      </c>
      <c r="X28" s="1" t="s">
        <v>43</v>
      </c>
      <c r="Y28" s="1" t="s">
        <v>105</v>
      </c>
      <c r="AB28" s="1" t="s">
        <v>45</v>
      </c>
      <c r="AC28" s="1" t="s">
        <v>45</v>
      </c>
    </row>
    <row r="29" customFormat="false" ht="13.8" hidden="false" customHeight="false" outlineLevel="0" collapsed="false">
      <c r="A29" s="1" t="s">
        <v>185</v>
      </c>
      <c r="B29" s="1" t="s">
        <v>186</v>
      </c>
      <c r="D29" s="1" t="s">
        <v>187</v>
      </c>
      <c r="Q29" s="1" t="s">
        <v>45</v>
      </c>
      <c r="T29" s="2" t="s">
        <v>188</v>
      </c>
      <c r="V29" s="1" t="s">
        <v>189</v>
      </c>
      <c r="X29" s="1" t="s">
        <v>43</v>
      </c>
      <c r="Y29" s="1" t="s">
        <v>190</v>
      </c>
      <c r="AB29" s="1" t="s">
        <v>45</v>
      </c>
      <c r="AC29" s="1" t="s">
        <v>45</v>
      </c>
    </row>
    <row r="30" customFormat="false" ht="13.8" hidden="false" customHeight="false" outlineLevel="0" collapsed="false">
      <c r="A30" s="1" t="s">
        <v>191</v>
      </c>
      <c r="B30" s="1" t="s">
        <v>192</v>
      </c>
      <c r="D30" s="1" t="s">
        <v>78</v>
      </c>
      <c r="E30" s="1" t="s">
        <v>193</v>
      </c>
      <c r="Q30" s="1" t="s">
        <v>45</v>
      </c>
      <c r="T30" s="2" t="s">
        <v>194</v>
      </c>
      <c r="V30" s="1" t="s">
        <v>195</v>
      </c>
      <c r="X30" s="1" t="s">
        <v>43</v>
      </c>
      <c r="Y30" s="1" t="s">
        <v>43</v>
      </c>
      <c r="AB30" s="1" t="s">
        <v>45</v>
      </c>
      <c r="AC30" s="1" t="s">
        <v>45</v>
      </c>
    </row>
    <row r="31" customFormat="false" ht="13.8" hidden="false" customHeight="false" outlineLevel="0" collapsed="false">
      <c r="A31" s="1" t="s">
        <v>196</v>
      </c>
      <c r="B31" s="1" t="s">
        <v>197</v>
      </c>
      <c r="D31" s="1" t="s">
        <v>78</v>
      </c>
      <c r="Q31" s="1" t="s">
        <v>45</v>
      </c>
      <c r="T31" s="2" t="s">
        <v>198</v>
      </c>
      <c r="V31" s="1" t="s">
        <v>140</v>
      </c>
      <c r="X31" s="1" t="s">
        <v>43</v>
      </c>
      <c r="Y31" s="1" t="s">
        <v>199</v>
      </c>
      <c r="AB31" s="1" t="s">
        <v>45</v>
      </c>
      <c r="AC31" s="1" t="s">
        <v>45</v>
      </c>
    </row>
    <row r="32" customFormat="false" ht="13.8" hidden="false" customHeight="false" outlineLevel="0" collapsed="false">
      <c r="A32" s="1" t="s">
        <v>200</v>
      </c>
      <c r="B32" s="1" t="s">
        <v>201</v>
      </c>
      <c r="D32" s="1" t="s">
        <v>202</v>
      </c>
      <c r="Q32" s="1" t="s">
        <v>45</v>
      </c>
      <c r="T32" s="2" t="s">
        <v>203</v>
      </c>
      <c r="V32" s="1" t="s">
        <v>195</v>
      </c>
      <c r="X32" s="1" t="s">
        <v>43</v>
      </c>
      <c r="Y32" s="1" t="s">
        <v>43</v>
      </c>
      <c r="AB32" s="1" t="s">
        <v>45</v>
      </c>
      <c r="AC32" s="1" t="s">
        <v>45</v>
      </c>
    </row>
    <row r="33" customFormat="false" ht="13.8" hidden="false" customHeight="false" outlineLevel="0" collapsed="false">
      <c r="A33" s="1" t="s">
        <v>204</v>
      </c>
      <c r="B33" s="1" t="s">
        <v>205</v>
      </c>
      <c r="D33" s="1" t="s">
        <v>206</v>
      </c>
      <c r="Q33" s="1" t="s">
        <v>45</v>
      </c>
      <c r="T33" s="2" t="s">
        <v>207</v>
      </c>
      <c r="V33" s="1" t="s">
        <v>208</v>
      </c>
      <c r="X33" s="1" t="s">
        <v>43</v>
      </c>
      <c r="Y33" s="1" t="s">
        <v>209</v>
      </c>
      <c r="AB33" s="1" t="s">
        <v>45</v>
      </c>
      <c r="AC33" s="1" t="s">
        <v>45</v>
      </c>
    </row>
    <row r="34" customFormat="false" ht="13.8" hidden="false" customHeight="false" outlineLevel="0" collapsed="false">
      <c r="A34" s="1" t="s">
        <v>210</v>
      </c>
      <c r="B34" s="1" t="s">
        <v>211</v>
      </c>
      <c r="D34" s="1" t="s">
        <v>51</v>
      </c>
      <c r="E34" s="1" t="s">
        <v>52</v>
      </c>
      <c r="F34" s="1" t="s">
        <v>212</v>
      </c>
      <c r="G34" s="1" t="s">
        <v>38</v>
      </c>
      <c r="Q34" s="1" t="s">
        <v>45</v>
      </c>
      <c r="T34" s="2" t="s">
        <v>213</v>
      </c>
      <c r="V34" s="1" t="s">
        <v>214</v>
      </c>
      <c r="X34" s="1" t="s">
        <v>43</v>
      </c>
      <c r="Y34" s="1" t="s">
        <v>215</v>
      </c>
      <c r="AB34" s="1" t="s">
        <v>45</v>
      </c>
      <c r="AC34" s="1" t="s">
        <v>45</v>
      </c>
    </row>
    <row r="35" customFormat="false" ht="13.8" hidden="false" customHeight="false" outlineLevel="0" collapsed="false">
      <c r="A35" s="1" t="s">
        <v>216</v>
      </c>
      <c r="B35" s="1" t="s">
        <v>217</v>
      </c>
      <c r="D35" s="1" t="s">
        <v>218</v>
      </c>
      <c r="Q35" s="1" t="s">
        <v>45</v>
      </c>
      <c r="T35" s="2" t="s">
        <v>219</v>
      </c>
      <c r="V35" s="1" t="s">
        <v>220</v>
      </c>
      <c r="X35" s="1" t="s">
        <v>43</v>
      </c>
      <c r="Y35" s="1" t="s">
        <v>221</v>
      </c>
      <c r="AB35" s="1" t="s">
        <v>59</v>
      </c>
      <c r="AC35" s="1" t="s">
        <v>222</v>
      </c>
    </row>
    <row r="36" customFormat="false" ht="13.8" hidden="false" customHeight="false" outlineLevel="0" collapsed="false">
      <c r="A36" s="1" t="s">
        <v>223</v>
      </c>
      <c r="B36" s="1" t="s">
        <v>224</v>
      </c>
      <c r="D36" s="1" t="s">
        <v>225</v>
      </c>
      <c r="Q36" s="1" t="s">
        <v>45</v>
      </c>
      <c r="T36" s="2" t="s">
        <v>226</v>
      </c>
      <c r="V36" s="1" t="s">
        <v>195</v>
      </c>
      <c r="X36" s="1" t="s">
        <v>43</v>
      </c>
      <c r="Y36" s="1" t="s">
        <v>43</v>
      </c>
      <c r="AB36" s="1" t="s">
        <v>45</v>
      </c>
      <c r="AC36" s="1" t="s">
        <v>45</v>
      </c>
    </row>
    <row r="37" customFormat="false" ht="13.8" hidden="false" customHeight="false" outlineLevel="0" collapsed="false">
      <c r="A37" s="1" t="s">
        <v>151</v>
      </c>
      <c r="B37" s="1" t="s">
        <v>227</v>
      </c>
      <c r="D37" s="1" t="s">
        <v>228</v>
      </c>
      <c r="Q37" s="1" t="s">
        <v>45</v>
      </c>
      <c r="T37" s="2" t="s">
        <v>229</v>
      </c>
      <c r="V37" s="1" t="s">
        <v>230</v>
      </c>
      <c r="X37" s="1" t="s">
        <v>43</v>
      </c>
      <c r="Y37" s="1" t="s">
        <v>231</v>
      </c>
      <c r="AB37" s="1" t="s">
        <v>59</v>
      </c>
      <c r="AC37" s="1" t="s">
        <v>222</v>
      </c>
    </row>
    <row r="38" customFormat="false" ht="13.8" hidden="false" customHeight="false" outlineLevel="0" collapsed="false">
      <c r="A38" s="1" t="s">
        <v>232</v>
      </c>
      <c r="B38" s="1" t="s">
        <v>233</v>
      </c>
      <c r="D38" s="1" t="s">
        <v>234</v>
      </c>
      <c r="Q38" s="1" t="s">
        <v>45</v>
      </c>
      <c r="T38" s="2" t="s">
        <v>235</v>
      </c>
      <c r="V38" s="1" t="s">
        <v>236</v>
      </c>
      <c r="X38" s="1" t="s">
        <v>43</v>
      </c>
      <c r="Y38" s="1" t="s">
        <v>237</v>
      </c>
      <c r="AB38" s="1" t="s">
        <v>45</v>
      </c>
      <c r="AC38" s="1" t="s">
        <v>45</v>
      </c>
    </row>
    <row r="39" customFormat="false" ht="13.8" hidden="false" customHeight="false" outlineLevel="0" collapsed="false">
      <c r="A39" s="1" t="s">
        <v>238</v>
      </c>
      <c r="B39" s="1" t="s">
        <v>239</v>
      </c>
      <c r="D39" s="1" t="s">
        <v>240</v>
      </c>
      <c r="Q39" s="1" t="s">
        <v>45</v>
      </c>
      <c r="T39" s="2" t="s">
        <v>241</v>
      </c>
      <c r="V39" s="1" t="s">
        <v>195</v>
      </c>
      <c r="X39" s="1" t="s">
        <v>43</v>
      </c>
      <c r="Y39" s="1" t="s">
        <v>43</v>
      </c>
      <c r="AB39" s="1" t="s">
        <v>45</v>
      </c>
      <c r="AC39" s="1" t="s">
        <v>45</v>
      </c>
    </row>
    <row r="40" customFormat="false" ht="13.8" hidden="false" customHeight="false" outlineLevel="0" collapsed="false">
      <c r="A40" s="1" t="s">
        <v>242</v>
      </c>
      <c r="B40" s="1" t="s">
        <v>243</v>
      </c>
      <c r="D40" s="1" t="s">
        <v>51</v>
      </c>
      <c r="Q40" s="1" t="s">
        <v>45</v>
      </c>
      <c r="T40" s="2" t="s">
        <v>244</v>
      </c>
      <c r="V40" s="1" t="s">
        <v>245</v>
      </c>
      <c r="X40" s="1" t="s">
        <v>43</v>
      </c>
      <c r="Y40" s="1" t="s">
        <v>246</v>
      </c>
      <c r="AB40" s="1" t="s">
        <v>45</v>
      </c>
      <c r="AC40" s="1" t="s">
        <v>45</v>
      </c>
    </row>
    <row r="41" customFormat="false" ht="13.8" hidden="false" customHeight="false" outlineLevel="0" collapsed="false">
      <c r="A41" s="1" t="s">
        <v>247</v>
      </c>
      <c r="B41" s="1" t="s">
        <v>248</v>
      </c>
      <c r="D41" s="1" t="s">
        <v>51</v>
      </c>
      <c r="Q41" s="1" t="s">
        <v>45</v>
      </c>
      <c r="R41" s="1" t="s">
        <v>249</v>
      </c>
      <c r="T41" s="2" t="s">
        <v>235</v>
      </c>
      <c r="V41" s="1" t="s">
        <v>45</v>
      </c>
      <c r="X41" s="1" t="s">
        <v>43</v>
      </c>
      <c r="Y41" s="1" t="s">
        <v>250</v>
      </c>
      <c r="AB41" s="1" t="s">
        <v>59</v>
      </c>
      <c r="AC41" s="1" t="s">
        <v>222</v>
      </c>
    </row>
    <row r="42" customFormat="false" ht="13.8" hidden="false" customHeight="false" outlineLevel="0" collapsed="false">
      <c r="A42" s="1" t="s">
        <v>251</v>
      </c>
      <c r="B42" s="1" t="s">
        <v>252</v>
      </c>
      <c r="D42" s="1" t="s">
        <v>34</v>
      </c>
      <c r="Q42" s="1" t="s">
        <v>45</v>
      </c>
      <c r="T42" s="2" t="s">
        <v>253</v>
      </c>
      <c r="V42" s="1" t="s">
        <v>195</v>
      </c>
      <c r="X42" s="1" t="s">
        <v>43</v>
      </c>
      <c r="Y42" s="1" t="s">
        <v>43</v>
      </c>
      <c r="AB42" s="1" t="s">
        <v>59</v>
      </c>
      <c r="AC42" s="1" t="s">
        <v>222</v>
      </c>
    </row>
    <row r="43" customFormat="false" ht="13.8" hidden="false" customHeight="false" outlineLevel="0" collapsed="false">
      <c r="A43" s="1" t="s">
        <v>254</v>
      </c>
      <c r="B43" s="1" t="s">
        <v>255</v>
      </c>
      <c r="D43" s="1" t="s">
        <v>51</v>
      </c>
      <c r="Q43" s="1" t="s">
        <v>45</v>
      </c>
      <c r="T43" s="2" t="s">
        <v>235</v>
      </c>
      <c r="V43" s="1" t="s">
        <v>256</v>
      </c>
      <c r="X43" s="1" t="s">
        <v>43</v>
      </c>
      <c r="Y43" s="1" t="s">
        <v>257</v>
      </c>
      <c r="AB43" s="1" t="s">
        <v>59</v>
      </c>
      <c r="AC43" s="1" t="s">
        <v>222</v>
      </c>
    </row>
    <row r="44" customFormat="false" ht="13.8" hidden="false" customHeight="false" outlineLevel="0" collapsed="false">
      <c r="A44" s="1" t="s">
        <v>258</v>
      </c>
      <c r="B44" s="1" t="s">
        <v>259</v>
      </c>
      <c r="D44" s="1" t="s">
        <v>225</v>
      </c>
      <c r="Q44" s="1" t="s">
        <v>45</v>
      </c>
      <c r="T44" s="2" t="s">
        <v>260</v>
      </c>
      <c r="V44" s="1" t="s">
        <v>261</v>
      </c>
      <c r="X44" s="1" t="s">
        <v>43</v>
      </c>
      <c r="Y44" s="1" t="s">
        <v>262</v>
      </c>
      <c r="AB44" s="1" t="s">
        <v>45</v>
      </c>
      <c r="AC44" s="1" t="s">
        <v>45</v>
      </c>
    </row>
    <row r="45" customFormat="false" ht="13.8" hidden="false" customHeight="false" outlineLevel="0" collapsed="false">
      <c r="A45" s="1" t="s">
        <v>263</v>
      </c>
      <c r="B45" s="1" t="s">
        <v>264</v>
      </c>
      <c r="D45" s="1" t="s">
        <v>225</v>
      </c>
      <c r="Q45" s="1" t="s">
        <v>45</v>
      </c>
      <c r="T45" s="2" t="s">
        <v>265</v>
      </c>
      <c r="V45" s="1" t="s">
        <v>195</v>
      </c>
      <c r="X45" s="1" t="s">
        <v>43</v>
      </c>
      <c r="Y45" s="1" t="s">
        <v>43</v>
      </c>
      <c r="AB45" s="1" t="s">
        <v>45</v>
      </c>
      <c r="AC45" s="1" t="s">
        <v>45</v>
      </c>
    </row>
    <row r="46" customFormat="false" ht="13.8" hidden="false" customHeight="false" outlineLevel="0" collapsed="false">
      <c r="A46" s="1" t="s">
        <v>266</v>
      </c>
      <c r="B46" s="1" t="s">
        <v>267</v>
      </c>
      <c r="D46" s="1" t="s">
        <v>225</v>
      </c>
      <c r="Q46" s="1" t="s">
        <v>45</v>
      </c>
      <c r="T46" s="2" t="s">
        <v>268</v>
      </c>
      <c r="V46" s="1" t="s">
        <v>269</v>
      </c>
      <c r="X46" s="1" t="s">
        <v>43</v>
      </c>
      <c r="Y46" s="1" t="s">
        <v>270</v>
      </c>
      <c r="AB46" s="1" t="s">
        <v>45</v>
      </c>
      <c r="AC46" s="1" t="s">
        <v>45</v>
      </c>
    </row>
    <row r="47" customFormat="false" ht="13.8" hidden="false" customHeight="false" outlineLevel="0" collapsed="false">
      <c r="A47" s="1" t="s">
        <v>271</v>
      </c>
      <c r="B47" s="1" t="s">
        <v>272</v>
      </c>
      <c r="D47" s="1" t="s">
        <v>273</v>
      </c>
      <c r="T47" s="2" t="s">
        <v>274</v>
      </c>
      <c r="V47" s="1" t="s">
        <v>230</v>
      </c>
      <c r="X47" s="1" t="s">
        <v>43</v>
      </c>
      <c r="Y47" s="1" t="s">
        <v>275</v>
      </c>
    </row>
    <row r="48" customFormat="false" ht="13.8" hidden="false" customHeight="false" outlineLevel="0" collapsed="false">
      <c r="A48" s="1" t="s">
        <v>276</v>
      </c>
      <c r="B48" s="1" t="s">
        <v>277</v>
      </c>
      <c r="D48" s="1" t="s">
        <v>225</v>
      </c>
      <c r="T48" s="2" t="s">
        <v>278</v>
      </c>
      <c r="V48" s="1" t="s">
        <v>195</v>
      </c>
      <c r="X48" s="1" t="s">
        <v>43</v>
      </c>
      <c r="Y48" s="1" t="s">
        <v>43</v>
      </c>
    </row>
    <row r="49" customFormat="false" ht="13.8" hidden="false" customHeight="false" outlineLevel="0" collapsed="false">
      <c r="A49" s="1" t="s">
        <v>279</v>
      </c>
      <c r="B49" s="1" t="s">
        <v>280</v>
      </c>
      <c r="D49" s="1" t="s">
        <v>281</v>
      </c>
      <c r="T49" s="2" t="s">
        <v>282</v>
      </c>
      <c r="V49" s="1" t="s">
        <v>283</v>
      </c>
      <c r="X49" s="1" t="s">
        <v>43</v>
      </c>
      <c r="Y49" s="1" t="s">
        <v>284</v>
      </c>
    </row>
    <row r="50" customFormat="false" ht="13.8" hidden="false" customHeight="false" outlineLevel="0" collapsed="false">
      <c r="A50" s="1" t="s">
        <v>285</v>
      </c>
      <c r="B50" s="1" t="s">
        <v>286</v>
      </c>
      <c r="D50" s="1" t="s">
        <v>225</v>
      </c>
      <c r="T50" s="2" t="s">
        <v>287</v>
      </c>
      <c r="V50" s="1" t="s">
        <v>189</v>
      </c>
      <c r="X50" s="1" t="s">
        <v>43</v>
      </c>
      <c r="Y50" s="1" t="s">
        <v>288</v>
      </c>
    </row>
    <row r="51" customFormat="false" ht="13.8" hidden="false" customHeight="false" outlineLevel="0" collapsed="false">
      <c r="A51" s="1" t="s">
        <v>289</v>
      </c>
      <c r="B51" s="1" t="s">
        <v>290</v>
      </c>
      <c r="D51" s="1" t="s">
        <v>225</v>
      </c>
      <c r="T51" s="2" t="s">
        <v>291</v>
      </c>
      <c r="V51" s="1" t="s">
        <v>195</v>
      </c>
      <c r="X51" s="1" t="s">
        <v>43</v>
      </c>
      <c r="Y51" s="1" t="s">
        <v>43</v>
      </c>
    </row>
    <row r="52" customFormat="false" ht="13.8" hidden="false" customHeight="false" outlineLevel="0" collapsed="false">
      <c r="A52" s="1" t="s">
        <v>292</v>
      </c>
      <c r="B52" s="1" t="s">
        <v>293</v>
      </c>
      <c r="D52" s="1" t="s">
        <v>225</v>
      </c>
      <c r="T52" s="2" t="s">
        <v>294</v>
      </c>
      <c r="V52" s="1" t="s">
        <v>295</v>
      </c>
      <c r="X52" s="1" t="s">
        <v>43</v>
      </c>
      <c r="Y52" s="1" t="s">
        <v>296</v>
      </c>
      <c r="AG52" s="0" t="n">
        <v>1</v>
      </c>
    </row>
    <row r="53" customFormat="false" ht="13.8" hidden="false" customHeight="false" outlineLevel="0" collapsed="false">
      <c r="A53" s="1" t="s">
        <v>297</v>
      </c>
      <c r="B53" s="1" t="s">
        <v>298</v>
      </c>
      <c r="D53" s="1" t="s">
        <v>225</v>
      </c>
      <c r="T53" s="2" t="s">
        <v>299</v>
      </c>
      <c r="V53" s="1" t="s">
        <v>172</v>
      </c>
      <c r="X53" s="1" t="s">
        <v>43</v>
      </c>
      <c r="Y53" s="1" t="s">
        <v>300</v>
      </c>
      <c r="AG53" s="0" t="n">
        <v>1</v>
      </c>
    </row>
    <row r="54" customFormat="false" ht="13.8" hidden="false" customHeight="false" outlineLevel="0" collapsed="false">
      <c r="A54" s="1" t="s">
        <v>301</v>
      </c>
      <c r="B54" s="1" t="s">
        <v>302</v>
      </c>
      <c r="D54" s="1" t="s">
        <v>225</v>
      </c>
      <c r="T54" s="2" t="s">
        <v>303</v>
      </c>
      <c r="V54" s="1" t="s">
        <v>304</v>
      </c>
      <c r="X54" s="1" t="s">
        <v>43</v>
      </c>
      <c r="Y54" s="1" t="s">
        <v>305</v>
      </c>
      <c r="AG54" s="0" t="n">
        <v>1</v>
      </c>
    </row>
    <row r="55" customFormat="false" ht="13.8" hidden="false" customHeight="false" outlineLevel="0" collapsed="false">
      <c r="A55" s="1" t="s">
        <v>306</v>
      </c>
      <c r="B55" s="1" t="s">
        <v>307</v>
      </c>
      <c r="D55" s="1" t="s">
        <v>225</v>
      </c>
      <c r="T55" s="2" t="s">
        <v>308</v>
      </c>
      <c r="V55" s="1" t="s">
        <v>309</v>
      </c>
      <c r="X55" s="1" t="s">
        <v>43</v>
      </c>
      <c r="Y55" s="1" t="s">
        <v>310</v>
      </c>
      <c r="AG55" s="0" t="n">
        <v>1</v>
      </c>
    </row>
    <row r="56" customFormat="false" ht="13.8" hidden="false" customHeight="false" outlineLevel="0" collapsed="false">
      <c r="A56" s="1" t="s">
        <v>311</v>
      </c>
      <c r="B56" s="1" t="s">
        <v>312</v>
      </c>
      <c r="D56" s="1" t="s">
        <v>225</v>
      </c>
      <c r="T56" s="2" t="s">
        <v>313</v>
      </c>
      <c r="V56" s="1" t="s">
        <v>309</v>
      </c>
      <c r="X56" s="1" t="s">
        <v>43</v>
      </c>
      <c r="Y56" s="1" t="s">
        <v>310</v>
      </c>
    </row>
    <row r="57" customFormat="false" ht="13.8" hidden="false" customHeight="false" outlineLevel="0" collapsed="false">
      <c r="A57" s="1" t="s">
        <v>297</v>
      </c>
      <c r="B57" s="1" t="s">
        <v>314</v>
      </c>
      <c r="D57" s="1" t="s">
        <v>225</v>
      </c>
      <c r="T57" s="2" t="s">
        <v>313</v>
      </c>
      <c r="V57" s="1" t="s">
        <v>70</v>
      </c>
      <c r="X57" s="1" t="s">
        <v>43</v>
      </c>
      <c r="Y57" s="1" t="s">
        <v>209</v>
      </c>
    </row>
    <row r="58" customFormat="false" ht="13.8" hidden="false" customHeight="false" outlineLevel="0" collapsed="false">
      <c r="A58" s="1" t="s">
        <v>315</v>
      </c>
      <c r="B58" s="1" t="s">
        <v>316</v>
      </c>
      <c r="D58" s="1" t="s">
        <v>78</v>
      </c>
      <c r="T58" s="2" t="s">
        <v>317</v>
      </c>
      <c r="V58" s="1" t="s">
        <v>70</v>
      </c>
      <c r="X58" s="1" t="s">
        <v>43</v>
      </c>
      <c r="Y58" s="1" t="s">
        <v>318</v>
      </c>
    </row>
    <row r="59" customFormat="false" ht="13.8" hidden="false" customHeight="false" outlineLevel="0" collapsed="false">
      <c r="A59" s="1" t="s">
        <v>319</v>
      </c>
      <c r="B59" s="1" t="s">
        <v>320</v>
      </c>
      <c r="D59" s="1" t="s">
        <v>78</v>
      </c>
      <c r="T59" s="2" t="s">
        <v>321</v>
      </c>
      <c r="V59" s="1" t="s">
        <v>322</v>
      </c>
      <c r="X59" s="1" t="s">
        <v>43</v>
      </c>
      <c r="Y59" s="1" t="s">
        <v>323</v>
      </c>
    </row>
    <row r="60" customFormat="false" ht="13.8" hidden="false" customHeight="false" outlineLevel="0" collapsed="false">
      <c r="A60" s="1" t="s">
        <v>324</v>
      </c>
      <c r="B60" s="1" t="s">
        <v>325</v>
      </c>
      <c r="D60" s="1" t="s">
        <v>78</v>
      </c>
      <c r="T60" s="2" t="s">
        <v>326</v>
      </c>
      <c r="V60" s="1" t="s">
        <v>327</v>
      </c>
      <c r="X60" s="1" t="s">
        <v>43</v>
      </c>
      <c r="Y60" s="1" t="s">
        <v>328</v>
      </c>
    </row>
    <row r="61" customFormat="false" ht="13.8" hidden="false" customHeight="false" outlineLevel="0" collapsed="false">
      <c r="A61" s="1" t="s">
        <v>329</v>
      </c>
      <c r="B61" s="1" t="s">
        <v>330</v>
      </c>
      <c r="D61" s="1" t="s">
        <v>225</v>
      </c>
      <c r="T61" s="2" t="s">
        <v>331</v>
      </c>
      <c r="V61" s="1" t="s">
        <v>332</v>
      </c>
      <c r="X61" s="1" t="s">
        <v>43</v>
      </c>
      <c r="Y61" s="1" t="s">
        <v>333</v>
      </c>
    </row>
    <row r="62" customFormat="false" ht="13.8" hidden="false" customHeight="false" outlineLevel="0" collapsed="false">
      <c r="A62" s="1" t="s">
        <v>334</v>
      </c>
      <c r="B62" s="1" t="s">
        <v>335</v>
      </c>
      <c r="D62" s="1" t="s">
        <v>51</v>
      </c>
      <c r="Q62" s="1" t="s">
        <v>45</v>
      </c>
      <c r="T62" s="2" t="s">
        <v>336</v>
      </c>
      <c r="V62" s="1" t="s">
        <v>172</v>
      </c>
      <c r="X62" s="1" t="s">
        <v>43</v>
      </c>
      <c r="Y62" s="1" t="s">
        <v>337</v>
      </c>
      <c r="AB62" s="1" t="s">
        <v>59</v>
      </c>
      <c r="AC62" s="1" t="s">
        <v>338</v>
      </c>
    </row>
    <row r="63" customFormat="false" ht="13.8" hidden="false" customHeight="false" outlineLevel="0" collapsed="false">
      <c r="A63" s="1" t="s">
        <v>339</v>
      </c>
      <c r="B63" s="1" t="s">
        <v>340</v>
      </c>
      <c r="D63" s="1" t="s">
        <v>51</v>
      </c>
      <c r="Q63" s="1" t="s">
        <v>45</v>
      </c>
      <c r="T63" s="2" t="s">
        <v>336</v>
      </c>
      <c r="V63" s="1" t="s">
        <v>172</v>
      </c>
      <c r="X63" s="1" t="s">
        <v>43</v>
      </c>
      <c r="Y63" s="1" t="s">
        <v>341</v>
      </c>
      <c r="AB63" s="1" t="s">
        <v>59</v>
      </c>
      <c r="AC63" s="1" t="s">
        <v>338</v>
      </c>
    </row>
    <row r="64" customFormat="false" ht="13.8" hidden="false" customHeight="false" outlineLevel="0" collapsed="false">
      <c r="A64" s="1" t="s">
        <v>342</v>
      </c>
      <c r="B64" s="1" t="s">
        <v>343</v>
      </c>
      <c r="D64" s="1" t="s">
        <v>51</v>
      </c>
      <c r="Q64" s="1" t="s">
        <v>45</v>
      </c>
      <c r="T64" s="2" t="s">
        <v>344</v>
      </c>
      <c r="V64" s="1" t="s">
        <v>172</v>
      </c>
      <c r="X64" s="1" t="s">
        <v>43</v>
      </c>
      <c r="Y64" s="1" t="s">
        <v>345</v>
      </c>
      <c r="AB64" s="1" t="s">
        <v>59</v>
      </c>
      <c r="AC64" s="1" t="s">
        <v>338</v>
      </c>
    </row>
    <row r="65" customFormat="false" ht="13.8" hidden="false" customHeight="false" outlineLevel="0" collapsed="false">
      <c r="A65" s="1" t="s">
        <v>346</v>
      </c>
      <c r="B65" s="1" t="s">
        <v>347</v>
      </c>
      <c r="D65" s="1" t="s">
        <v>225</v>
      </c>
      <c r="T65" s="2" t="s">
        <v>348</v>
      </c>
      <c r="V65" s="1" t="s">
        <v>42</v>
      </c>
      <c r="X65" s="1" t="s">
        <v>43</v>
      </c>
      <c r="Y65" s="1" t="s">
        <v>349</v>
      </c>
    </row>
    <row r="66" customFormat="false" ht="13.8" hidden="false" customHeight="false" outlineLevel="0" collapsed="false">
      <c r="A66" s="1" t="s">
        <v>350</v>
      </c>
      <c r="B66" s="1" t="s">
        <v>351</v>
      </c>
      <c r="D66" s="1" t="s">
        <v>352</v>
      </c>
      <c r="T66" s="2" t="s">
        <v>353</v>
      </c>
      <c r="V66" s="1" t="s">
        <v>164</v>
      </c>
      <c r="X66" s="1" t="s">
        <v>43</v>
      </c>
      <c r="Y66" s="1" t="s">
        <v>43</v>
      </c>
    </row>
    <row r="67" customFormat="false" ht="13.8" hidden="false" customHeight="false" outlineLevel="0" collapsed="false">
      <c r="A67" s="1" t="s">
        <v>354</v>
      </c>
      <c r="B67" s="1" t="s">
        <v>355</v>
      </c>
      <c r="D67" s="1" t="s">
        <v>225</v>
      </c>
      <c r="T67" s="2" t="s">
        <v>356</v>
      </c>
      <c r="V67" s="1" t="s">
        <v>357</v>
      </c>
      <c r="X67" s="1" t="s">
        <v>43</v>
      </c>
      <c r="Y67" s="1" t="s">
        <v>358</v>
      </c>
    </row>
    <row r="68" customFormat="false" ht="13.8" hidden="false" customHeight="false" outlineLevel="0" collapsed="false">
      <c r="A68" s="1" t="s">
        <v>359</v>
      </c>
      <c r="B68" s="1" t="s">
        <v>360</v>
      </c>
      <c r="D68" s="1" t="s">
        <v>78</v>
      </c>
      <c r="E68" s="1" t="s">
        <v>37</v>
      </c>
      <c r="F68" s="1" t="s">
        <v>79</v>
      </c>
      <c r="G68" s="1" t="s">
        <v>361</v>
      </c>
      <c r="Q68" s="2" t="s">
        <v>362</v>
      </c>
      <c r="T68" s="2" t="s">
        <v>363</v>
      </c>
      <c r="V68" s="1" t="s">
        <v>117</v>
      </c>
      <c r="X68" s="1" t="s">
        <v>43</v>
      </c>
      <c r="Y68" s="1" t="s">
        <v>364</v>
      </c>
    </row>
    <row r="69" customFormat="false" ht="13.8" hidden="false" customHeight="false" outlineLevel="0" collapsed="false">
      <c r="A69" s="1" t="s">
        <v>365</v>
      </c>
      <c r="B69" s="1" t="s">
        <v>366</v>
      </c>
      <c r="D69" s="1" t="s">
        <v>225</v>
      </c>
      <c r="Q69" s="1" t="s">
        <v>45</v>
      </c>
      <c r="T69" s="2" t="s">
        <v>367</v>
      </c>
      <c r="V69" s="1" t="s">
        <v>368</v>
      </c>
      <c r="X69" s="1" t="s">
        <v>369</v>
      </c>
      <c r="Y69" s="1" t="s">
        <v>370</v>
      </c>
      <c r="AB69" s="1" t="s">
        <v>45</v>
      </c>
      <c r="AC69" s="1" t="s">
        <v>45</v>
      </c>
    </row>
    <row r="70" customFormat="false" ht="13.8" hidden="false" customHeight="false" outlineLevel="0" collapsed="false">
      <c r="A70" s="1" t="s">
        <v>371</v>
      </c>
      <c r="B70" s="1" t="s">
        <v>372</v>
      </c>
      <c r="D70" s="1" t="s">
        <v>34</v>
      </c>
      <c r="T70" s="2" t="s">
        <v>373</v>
      </c>
      <c r="V70" s="1" t="s">
        <v>172</v>
      </c>
      <c r="X70" s="1" t="s">
        <v>374</v>
      </c>
      <c r="Y70" s="1" t="s">
        <v>374</v>
      </c>
    </row>
    <row r="71" customFormat="false" ht="13.8" hidden="false" customHeight="false" outlineLevel="0" collapsed="false">
      <c r="A71" s="1" t="s">
        <v>375</v>
      </c>
      <c r="B71" s="1" t="s">
        <v>376</v>
      </c>
      <c r="D71" s="1" t="s">
        <v>377</v>
      </c>
      <c r="E71" s="1" t="s">
        <v>378</v>
      </c>
      <c r="F71" s="1" t="s">
        <v>81</v>
      </c>
      <c r="G71" s="1" t="s">
        <v>38</v>
      </c>
      <c r="H71" s="1" t="s">
        <v>35</v>
      </c>
      <c r="Q71" s="2" t="s">
        <v>379</v>
      </c>
      <c r="S71" s="2" t="s">
        <v>380</v>
      </c>
      <c r="T71" s="2" t="s">
        <v>380</v>
      </c>
      <c r="V71" s="1" t="s">
        <v>381</v>
      </c>
      <c r="X71" s="1" t="s">
        <v>382</v>
      </c>
      <c r="Y71" s="1" t="s">
        <v>383</v>
      </c>
      <c r="AB71" s="1" t="s">
        <v>45</v>
      </c>
      <c r="AC71" s="1" t="s">
        <v>45</v>
      </c>
      <c r="AG71" s="0" t="n">
        <v>1</v>
      </c>
    </row>
    <row r="72" customFormat="false" ht="13.8" hidden="false" customHeight="false" outlineLevel="0" collapsed="false">
      <c r="A72" s="1" t="s">
        <v>384</v>
      </c>
      <c r="B72" s="1" t="s">
        <v>385</v>
      </c>
      <c r="D72" s="1" t="s">
        <v>386</v>
      </c>
      <c r="T72" s="2" t="s">
        <v>387</v>
      </c>
      <c r="V72" s="1" t="s">
        <v>269</v>
      </c>
      <c r="X72" s="1" t="s">
        <v>388</v>
      </c>
      <c r="Y72" s="1" t="s">
        <v>389</v>
      </c>
    </row>
    <row r="73" customFormat="false" ht="13.8" hidden="false" customHeight="false" outlineLevel="0" collapsed="false">
      <c r="A73" s="1" t="s">
        <v>390</v>
      </c>
      <c r="B73" s="1" t="s">
        <v>391</v>
      </c>
      <c r="D73" s="1" t="s">
        <v>386</v>
      </c>
      <c r="T73" s="2" t="s">
        <v>308</v>
      </c>
      <c r="V73" s="1" t="s">
        <v>392</v>
      </c>
      <c r="X73" s="1" t="s">
        <v>388</v>
      </c>
      <c r="Y73" s="1" t="s">
        <v>389</v>
      </c>
      <c r="AG73" s="0" t="n">
        <v>1</v>
      </c>
    </row>
    <row r="74" customFormat="false" ht="13.8" hidden="false" customHeight="false" outlineLevel="0" collapsed="false">
      <c r="A74" s="1" t="s">
        <v>393</v>
      </c>
      <c r="B74" s="1" t="s">
        <v>394</v>
      </c>
      <c r="D74" s="1" t="s">
        <v>51</v>
      </c>
      <c r="T74" s="2" t="s">
        <v>395</v>
      </c>
      <c r="V74" s="1" t="s">
        <v>396</v>
      </c>
      <c r="X74" s="1" t="s">
        <v>221</v>
      </c>
      <c r="Y74" s="1" t="s">
        <v>105</v>
      </c>
    </row>
    <row r="75" customFormat="false" ht="13.8" hidden="false" customHeight="false" outlineLevel="0" collapsed="false">
      <c r="A75" s="1" t="s">
        <v>397</v>
      </c>
      <c r="B75" s="1" t="s">
        <v>398</v>
      </c>
      <c r="D75" s="1" t="s">
        <v>51</v>
      </c>
      <c r="T75" s="2" t="s">
        <v>399</v>
      </c>
      <c r="V75" s="1" t="s">
        <v>332</v>
      </c>
      <c r="X75" s="1" t="s">
        <v>400</v>
      </c>
      <c r="Y75" s="1" t="s">
        <v>401</v>
      </c>
    </row>
    <row r="76" customFormat="false" ht="13.8" hidden="false" customHeight="false" outlineLevel="0" collapsed="false">
      <c r="A76" s="1" t="s">
        <v>402</v>
      </c>
      <c r="B76" s="1" t="s">
        <v>403</v>
      </c>
      <c r="D76" s="1" t="s">
        <v>404</v>
      </c>
      <c r="T76" s="2" t="s">
        <v>405</v>
      </c>
      <c r="V76" s="1" t="s">
        <v>140</v>
      </c>
      <c r="X76" s="1" t="s">
        <v>400</v>
      </c>
      <c r="Y76" s="1" t="s">
        <v>406</v>
      </c>
    </row>
    <row r="77" customFormat="false" ht="13.8" hidden="false" customHeight="false" outlineLevel="0" collapsed="false">
      <c r="A77" s="1" t="s">
        <v>407</v>
      </c>
      <c r="B77" s="1" t="s">
        <v>408</v>
      </c>
      <c r="D77" s="1" t="s">
        <v>78</v>
      </c>
      <c r="T77" s="2" t="s">
        <v>405</v>
      </c>
      <c r="V77" s="1" t="s">
        <v>48</v>
      </c>
      <c r="X77" s="1" t="s">
        <v>400</v>
      </c>
      <c r="Y77" s="1" t="s">
        <v>406</v>
      </c>
    </row>
    <row r="78" customFormat="false" ht="13.8" hidden="false" customHeight="false" outlineLevel="0" collapsed="false">
      <c r="A78" s="1" t="s">
        <v>409</v>
      </c>
      <c r="B78" s="1" t="s">
        <v>410</v>
      </c>
      <c r="D78" s="1" t="s">
        <v>78</v>
      </c>
      <c r="E78" s="1" t="s">
        <v>79</v>
      </c>
      <c r="F78" s="1" t="s">
        <v>35</v>
      </c>
      <c r="G78" s="1" t="s">
        <v>38</v>
      </c>
      <c r="H78" s="1" t="s">
        <v>81</v>
      </c>
      <c r="Q78" s="2" t="s">
        <v>411</v>
      </c>
      <c r="S78" s="2" t="s">
        <v>412</v>
      </c>
      <c r="T78" s="2" t="s">
        <v>412</v>
      </c>
      <c r="V78" s="1" t="s">
        <v>208</v>
      </c>
      <c r="X78" s="1" t="s">
        <v>413</v>
      </c>
      <c r="Y78" s="1" t="s">
        <v>45</v>
      </c>
      <c r="AB78" s="1" t="s">
        <v>45</v>
      </c>
      <c r="AC78" s="1" t="s">
        <v>45</v>
      </c>
      <c r="AE78" s="1" t="s">
        <v>45</v>
      </c>
    </row>
    <row r="79" customFormat="false" ht="13.8" hidden="false" customHeight="false" outlineLevel="0" collapsed="false">
      <c r="A79" s="1" t="s">
        <v>414</v>
      </c>
      <c r="B79" s="1" t="s">
        <v>415</v>
      </c>
      <c r="D79" s="1" t="s">
        <v>225</v>
      </c>
      <c r="E79" s="1" t="s">
        <v>100</v>
      </c>
      <c r="F79" s="1" t="s">
        <v>38</v>
      </c>
      <c r="G79" s="1" t="s">
        <v>35</v>
      </c>
      <c r="H79" s="1" t="s">
        <v>101</v>
      </c>
      <c r="Q79" s="2" t="s">
        <v>416</v>
      </c>
      <c r="S79" s="2" t="s">
        <v>417</v>
      </c>
      <c r="T79" s="2" t="s">
        <v>417</v>
      </c>
      <c r="V79" s="1" t="s">
        <v>208</v>
      </c>
      <c r="X79" s="1" t="s">
        <v>413</v>
      </c>
      <c r="Y79" s="1" t="s">
        <v>418</v>
      </c>
      <c r="AB79" s="1" t="s">
        <v>45</v>
      </c>
      <c r="AC79" s="1" t="s">
        <v>45</v>
      </c>
    </row>
    <row r="80" customFormat="false" ht="13.8" hidden="false" customHeight="false" outlineLevel="0" collapsed="false">
      <c r="A80" s="1" t="s">
        <v>419</v>
      </c>
      <c r="B80" s="1" t="s">
        <v>420</v>
      </c>
      <c r="D80" s="1" t="s">
        <v>78</v>
      </c>
      <c r="T80" s="2" t="s">
        <v>421</v>
      </c>
      <c r="V80" s="1" t="s">
        <v>208</v>
      </c>
      <c r="X80" s="1" t="s">
        <v>413</v>
      </c>
      <c r="Y80" s="1" t="s">
        <v>422</v>
      </c>
    </row>
    <row r="81" customFormat="false" ht="13.8" hidden="false" customHeight="false" outlineLevel="0" collapsed="false">
      <c r="A81" s="1" t="s">
        <v>423</v>
      </c>
      <c r="B81" s="1" t="s">
        <v>424</v>
      </c>
      <c r="D81" s="1" t="s">
        <v>225</v>
      </c>
      <c r="T81" s="2" t="s">
        <v>425</v>
      </c>
      <c r="V81" s="1" t="s">
        <v>208</v>
      </c>
      <c r="X81" s="1" t="s">
        <v>413</v>
      </c>
      <c r="Y81" s="1" t="s">
        <v>422</v>
      </c>
    </row>
    <row r="82" customFormat="false" ht="13.8" hidden="false" customHeight="false" outlineLevel="0" collapsed="false">
      <c r="A82" s="1" t="s">
        <v>426</v>
      </c>
      <c r="B82" s="1" t="s">
        <v>427</v>
      </c>
      <c r="D82" s="1" t="s">
        <v>34</v>
      </c>
      <c r="T82" s="2" t="s">
        <v>428</v>
      </c>
      <c r="V82" s="1" t="s">
        <v>429</v>
      </c>
      <c r="X82" s="1" t="s">
        <v>413</v>
      </c>
      <c r="Y82" s="1" t="s">
        <v>430</v>
      </c>
    </row>
    <row r="83" customFormat="false" ht="13.8" hidden="false" customHeight="false" outlineLevel="0" collapsed="false">
      <c r="A83" s="1" t="s">
        <v>431</v>
      </c>
      <c r="B83" s="1" t="s">
        <v>432</v>
      </c>
      <c r="D83" s="1" t="s">
        <v>433</v>
      </c>
      <c r="T83" s="2" t="s">
        <v>434</v>
      </c>
      <c r="V83" s="1" t="s">
        <v>48</v>
      </c>
      <c r="X83" s="1" t="s">
        <v>435</v>
      </c>
      <c r="Y83" s="1" t="s">
        <v>97</v>
      </c>
    </row>
    <row r="84" customFormat="false" ht="13.8" hidden="false" customHeight="false" outlineLevel="0" collapsed="false">
      <c r="A84" s="1" t="s">
        <v>436</v>
      </c>
      <c r="B84" s="1" t="s">
        <v>437</v>
      </c>
      <c r="D84" s="1" t="s">
        <v>404</v>
      </c>
      <c r="T84" s="2" t="s">
        <v>321</v>
      </c>
      <c r="V84" s="1" t="s">
        <v>172</v>
      </c>
      <c r="X84" s="1" t="s">
        <v>438</v>
      </c>
      <c r="Y84" s="1" t="s">
        <v>439</v>
      </c>
    </row>
    <row r="85" customFormat="false" ht="13.8" hidden="false" customHeight="false" outlineLevel="0" collapsed="false">
      <c r="A85" s="1" t="s">
        <v>440</v>
      </c>
      <c r="B85" s="1" t="s">
        <v>441</v>
      </c>
      <c r="D85" s="1" t="s">
        <v>404</v>
      </c>
      <c r="Q85" s="1" t="s">
        <v>45</v>
      </c>
      <c r="T85" s="2" t="s">
        <v>442</v>
      </c>
      <c r="V85" s="1" t="s">
        <v>443</v>
      </c>
      <c r="X85" s="1" t="s">
        <v>444</v>
      </c>
      <c r="Y85" s="1" t="s">
        <v>445</v>
      </c>
      <c r="AB85" s="1" t="s">
        <v>45</v>
      </c>
      <c r="AC85" s="1" t="s">
        <v>45</v>
      </c>
    </row>
    <row r="86" customFormat="false" ht="13.8" hidden="false" customHeight="false" outlineLevel="0" collapsed="false">
      <c r="A86" s="1" t="s">
        <v>446</v>
      </c>
      <c r="B86" s="1" t="s">
        <v>447</v>
      </c>
      <c r="D86" s="1" t="s">
        <v>404</v>
      </c>
      <c r="Q86" s="1" t="s">
        <v>45</v>
      </c>
      <c r="T86" s="2" t="s">
        <v>448</v>
      </c>
      <c r="V86" s="1" t="s">
        <v>381</v>
      </c>
      <c r="X86" s="1" t="s">
        <v>444</v>
      </c>
      <c r="Y86" s="1" t="s">
        <v>449</v>
      </c>
      <c r="AB86" s="1" t="s">
        <v>45</v>
      </c>
      <c r="AC86" s="1" t="s">
        <v>45</v>
      </c>
    </row>
    <row r="87" customFormat="false" ht="13.8" hidden="false" customHeight="false" outlineLevel="0" collapsed="false">
      <c r="A87" s="1" t="s">
        <v>450</v>
      </c>
      <c r="B87" s="1" t="s">
        <v>451</v>
      </c>
      <c r="D87" s="1" t="s">
        <v>452</v>
      </c>
      <c r="T87" s="2" t="s">
        <v>453</v>
      </c>
      <c r="V87" s="1" t="s">
        <v>454</v>
      </c>
      <c r="X87" s="1" t="s">
        <v>455</v>
      </c>
      <c r="Y87" s="1" t="s">
        <v>455</v>
      </c>
    </row>
    <row r="88" customFormat="false" ht="13.8" hidden="false" customHeight="false" outlineLevel="0" collapsed="false">
      <c r="A88" s="1" t="s">
        <v>456</v>
      </c>
      <c r="B88" s="1" t="s">
        <v>457</v>
      </c>
      <c r="D88" s="1" t="s">
        <v>51</v>
      </c>
      <c r="Q88" s="1" t="s">
        <v>45</v>
      </c>
      <c r="T88" s="2" t="s">
        <v>458</v>
      </c>
      <c r="V88" s="1" t="s">
        <v>117</v>
      </c>
      <c r="X88" s="1" t="s">
        <v>459</v>
      </c>
      <c r="Y88" s="1" t="s">
        <v>97</v>
      </c>
      <c r="AB88" s="1" t="s">
        <v>59</v>
      </c>
      <c r="AC88" s="1" t="s">
        <v>338</v>
      </c>
      <c r="AG88" s="0" t="n">
        <v>1</v>
      </c>
    </row>
    <row r="89" customFormat="false" ht="13.8" hidden="false" customHeight="false" outlineLevel="0" collapsed="false">
      <c r="A89" s="1" t="s">
        <v>460</v>
      </c>
      <c r="B89" s="1" t="s">
        <v>461</v>
      </c>
      <c r="D89" s="1" t="s">
        <v>462</v>
      </c>
      <c r="E89" s="1" t="s">
        <v>93</v>
      </c>
      <c r="F89" s="1" t="s">
        <v>36</v>
      </c>
      <c r="G89" s="1" t="s">
        <v>37</v>
      </c>
      <c r="M89" s="1" t="s">
        <v>463</v>
      </c>
      <c r="N89" s="1" t="s">
        <v>464</v>
      </c>
      <c r="Q89" s="2" t="s">
        <v>465</v>
      </c>
      <c r="S89" s="2" t="s">
        <v>466</v>
      </c>
      <c r="T89" s="2" t="s">
        <v>466</v>
      </c>
      <c r="V89" s="1" t="s">
        <v>467</v>
      </c>
      <c r="X89" s="1" t="s">
        <v>468</v>
      </c>
      <c r="Y89" s="1" t="s">
        <v>45</v>
      </c>
      <c r="AB89" s="1" t="s">
        <v>59</v>
      </c>
      <c r="AC89" s="1" t="s">
        <v>60</v>
      </c>
    </row>
    <row r="90" customFormat="false" ht="13.8" hidden="false" customHeight="false" outlineLevel="0" collapsed="false">
      <c r="A90" s="1" t="s">
        <v>469</v>
      </c>
      <c r="B90" s="1" t="s">
        <v>470</v>
      </c>
      <c r="D90" s="1" t="s">
        <v>462</v>
      </c>
      <c r="E90" s="1" t="s">
        <v>93</v>
      </c>
      <c r="F90" s="1" t="s">
        <v>36</v>
      </c>
      <c r="G90" s="1" t="s">
        <v>37</v>
      </c>
      <c r="M90" s="1" t="s">
        <v>463</v>
      </c>
      <c r="N90" s="1" t="s">
        <v>464</v>
      </c>
      <c r="Q90" s="2" t="s">
        <v>465</v>
      </c>
      <c r="S90" s="2" t="s">
        <v>466</v>
      </c>
      <c r="T90" s="2" t="s">
        <v>466</v>
      </c>
      <c r="V90" s="1" t="s">
        <v>332</v>
      </c>
      <c r="X90" s="1" t="s">
        <v>468</v>
      </c>
      <c r="Y90" s="1" t="s">
        <v>45</v>
      </c>
      <c r="AB90" s="1" t="s">
        <v>59</v>
      </c>
      <c r="AC90" s="1" t="s">
        <v>60</v>
      </c>
    </row>
    <row r="91" customFormat="false" ht="13.8" hidden="false" customHeight="false" outlineLevel="0" collapsed="false">
      <c r="A91" s="1" t="s">
        <v>471</v>
      </c>
      <c r="B91" s="1" t="s">
        <v>461</v>
      </c>
      <c r="D91" s="1" t="s">
        <v>462</v>
      </c>
      <c r="E91" s="1" t="s">
        <v>93</v>
      </c>
      <c r="F91" s="1" t="s">
        <v>36</v>
      </c>
      <c r="G91" s="1" t="s">
        <v>37</v>
      </c>
      <c r="M91" s="1" t="s">
        <v>463</v>
      </c>
      <c r="N91" s="1" t="s">
        <v>464</v>
      </c>
      <c r="Q91" s="2" t="s">
        <v>465</v>
      </c>
      <c r="S91" s="2" t="s">
        <v>466</v>
      </c>
      <c r="T91" s="2" t="s">
        <v>466</v>
      </c>
      <c r="V91" s="1" t="s">
        <v>472</v>
      </c>
      <c r="X91" s="1" t="s">
        <v>468</v>
      </c>
      <c r="Y91" s="1" t="s">
        <v>45</v>
      </c>
      <c r="AB91" s="1" t="s">
        <v>59</v>
      </c>
      <c r="AC91" s="1" t="s">
        <v>60</v>
      </c>
    </row>
    <row r="92" customFormat="false" ht="13.8" hidden="false" customHeight="false" outlineLevel="0" collapsed="false">
      <c r="A92" s="1" t="s">
        <v>473</v>
      </c>
      <c r="B92" s="1" t="s">
        <v>474</v>
      </c>
      <c r="D92" s="1" t="s">
        <v>462</v>
      </c>
      <c r="E92" s="1" t="s">
        <v>93</v>
      </c>
      <c r="F92" s="1" t="s">
        <v>36</v>
      </c>
      <c r="G92" s="1" t="s">
        <v>37</v>
      </c>
      <c r="M92" s="1" t="s">
        <v>463</v>
      </c>
      <c r="N92" s="1" t="s">
        <v>464</v>
      </c>
      <c r="Q92" s="2" t="s">
        <v>465</v>
      </c>
      <c r="S92" s="2" t="s">
        <v>466</v>
      </c>
      <c r="T92" s="2" t="s">
        <v>466</v>
      </c>
      <c r="V92" s="1" t="s">
        <v>472</v>
      </c>
      <c r="X92" s="1" t="s">
        <v>468</v>
      </c>
      <c r="Y92" s="1" t="s">
        <v>45</v>
      </c>
      <c r="AB92" s="1" t="s">
        <v>59</v>
      </c>
      <c r="AC92" s="1" t="s">
        <v>60</v>
      </c>
    </row>
    <row r="93" customFormat="false" ht="13.8" hidden="false" customHeight="false" outlineLevel="0" collapsed="false">
      <c r="A93" s="1" t="s">
        <v>475</v>
      </c>
      <c r="B93" s="1" t="s">
        <v>476</v>
      </c>
      <c r="D93" s="1" t="s">
        <v>225</v>
      </c>
      <c r="E93" s="1" t="s">
        <v>477</v>
      </c>
      <c r="F93" s="1" t="s">
        <v>478</v>
      </c>
      <c r="G93" s="1" t="s">
        <v>38</v>
      </c>
      <c r="H93" s="1" t="s">
        <v>35</v>
      </c>
      <c r="M93" s="1" t="s">
        <v>479</v>
      </c>
      <c r="N93" s="1" t="s">
        <v>480</v>
      </c>
      <c r="Q93" s="2" t="s">
        <v>481</v>
      </c>
      <c r="S93" s="2" t="s">
        <v>482</v>
      </c>
      <c r="T93" s="2" t="s">
        <v>482</v>
      </c>
      <c r="V93" s="1" t="s">
        <v>45</v>
      </c>
      <c r="X93" s="1" t="s">
        <v>468</v>
      </c>
      <c r="Y93" s="1" t="s">
        <v>483</v>
      </c>
      <c r="AB93" s="1" t="s">
        <v>59</v>
      </c>
      <c r="AC93" s="1" t="s">
        <v>60</v>
      </c>
    </row>
    <row r="94" customFormat="false" ht="13.8" hidden="false" customHeight="false" outlineLevel="0" collapsed="false">
      <c r="A94" s="1" t="s">
        <v>484</v>
      </c>
      <c r="B94" s="1" t="s">
        <v>485</v>
      </c>
      <c r="C94" s="1" t="s">
        <v>486</v>
      </c>
      <c r="D94" s="1" t="s">
        <v>487</v>
      </c>
      <c r="E94" s="1" t="s">
        <v>488</v>
      </c>
      <c r="F94" s="1" t="s">
        <v>38</v>
      </c>
      <c r="G94" s="1" t="s">
        <v>489</v>
      </c>
      <c r="H94" s="1" t="s">
        <v>490</v>
      </c>
      <c r="I94" s="1" t="s">
        <v>491</v>
      </c>
      <c r="Q94" s="2" t="s">
        <v>492</v>
      </c>
      <c r="S94" s="2" t="s">
        <v>493</v>
      </c>
      <c r="T94" s="2" t="s">
        <v>494</v>
      </c>
      <c r="V94" s="1" t="s">
        <v>48</v>
      </c>
      <c r="X94" s="1" t="s">
        <v>468</v>
      </c>
      <c r="Y94" s="1" t="s">
        <v>495</v>
      </c>
      <c r="AB94" s="1" t="s">
        <v>59</v>
      </c>
      <c r="AC94" s="1" t="s">
        <v>60</v>
      </c>
      <c r="AD94" s="1" t="s">
        <v>496</v>
      </c>
      <c r="AE94" s="1" t="s">
        <v>497</v>
      </c>
    </row>
    <row r="95" customFormat="false" ht="13.8" hidden="false" customHeight="false" outlineLevel="0" collapsed="false">
      <c r="A95" s="1" t="s">
        <v>498</v>
      </c>
      <c r="B95" s="1" t="s">
        <v>499</v>
      </c>
      <c r="D95" s="1" t="s">
        <v>78</v>
      </c>
      <c r="E95" s="1" t="s">
        <v>35</v>
      </c>
      <c r="F95" s="1" t="s">
        <v>79</v>
      </c>
      <c r="G95" s="1" t="s">
        <v>477</v>
      </c>
      <c r="H95" s="1" t="s">
        <v>81</v>
      </c>
      <c r="I95" s="1" t="s">
        <v>38</v>
      </c>
      <c r="M95" s="1" t="s">
        <v>500</v>
      </c>
      <c r="N95" s="1" t="s">
        <v>501</v>
      </c>
      <c r="Q95" s="2" t="s">
        <v>502</v>
      </c>
      <c r="T95" s="2" t="s">
        <v>503</v>
      </c>
      <c r="V95" s="1" t="s">
        <v>45</v>
      </c>
      <c r="X95" s="1" t="s">
        <v>468</v>
      </c>
      <c r="Y95" s="1" t="s">
        <v>504</v>
      </c>
      <c r="AB95" s="1" t="s">
        <v>505</v>
      </c>
      <c r="AC95" s="1" t="s">
        <v>60</v>
      </c>
    </row>
    <row r="96" customFormat="false" ht="13.8" hidden="false" customHeight="false" outlineLevel="0" collapsed="false">
      <c r="A96" s="1" t="s">
        <v>506</v>
      </c>
      <c r="B96" s="1" t="s">
        <v>507</v>
      </c>
      <c r="D96" s="1" t="s">
        <v>78</v>
      </c>
      <c r="E96" s="1" t="s">
        <v>79</v>
      </c>
      <c r="F96" s="1" t="s">
        <v>35</v>
      </c>
      <c r="G96" s="1" t="s">
        <v>38</v>
      </c>
      <c r="M96" s="1" t="s">
        <v>508</v>
      </c>
      <c r="N96" s="1" t="s">
        <v>509</v>
      </c>
      <c r="O96" s="1" t="s">
        <v>510</v>
      </c>
      <c r="Q96" s="2" t="s">
        <v>511</v>
      </c>
      <c r="S96" s="2" t="s">
        <v>512</v>
      </c>
      <c r="T96" s="2" t="s">
        <v>512</v>
      </c>
      <c r="V96" s="1" t="s">
        <v>45</v>
      </c>
      <c r="X96" s="1" t="s">
        <v>468</v>
      </c>
      <c r="Y96" s="1" t="s">
        <v>45</v>
      </c>
      <c r="AB96" s="1" t="s">
        <v>513</v>
      </c>
      <c r="AC96" s="1" t="s">
        <v>60</v>
      </c>
    </row>
    <row r="97" customFormat="false" ht="13.8" hidden="false" customHeight="false" outlineLevel="0" collapsed="false">
      <c r="A97" s="1" t="s">
        <v>514</v>
      </c>
      <c r="B97" s="1" t="s">
        <v>515</v>
      </c>
      <c r="C97" s="1" t="s">
        <v>45</v>
      </c>
      <c r="D97" s="1" t="s">
        <v>78</v>
      </c>
      <c r="E97" s="1" t="s">
        <v>79</v>
      </c>
      <c r="F97" s="1" t="s">
        <v>35</v>
      </c>
      <c r="G97" s="1" t="s">
        <v>38</v>
      </c>
      <c r="Q97" s="2" t="s">
        <v>516</v>
      </c>
      <c r="S97" s="2" t="s">
        <v>517</v>
      </c>
      <c r="T97" s="2" t="s">
        <v>518</v>
      </c>
      <c r="V97" s="1" t="s">
        <v>45</v>
      </c>
      <c r="X97" s="1" t="s">
        <v>468</v>
      </c>
      <c r="Y97" s="1" t="s">
        <v>97</v>
      </c>
      <c r="AB97" s="1" t="s">
        <v>513</v>
      </c>
      <c r="AC97" s="1" t="s">
        <v>60</v>
      </c>
    </row>
    <row r="98" customFormat="false" ht="13.8" hidden="false" customHeight="false" outlineLevel="0" collapsed="false">
      <c r="A98" s="1" t="s">
        <v>519</v>
      </c>
      <c r="B98" s="1" t="s">
        <v>520</v>
      </c>
      <c r="C98" s="1" t="s">
        <v>45</v>
      </c>
      <c r="D98" s="1" t="s">
        <v>78</v>
      </c>
      <c r="E98" s="1" t="s">
        <v>79</v>
      </c>
      <c r="F98" s="1" t="s">
        <v>521</v>
      </c>
      <c r="G98" s="1" t="s">
        <v>522</v>
      </c>
      <c r="H98" s="1" t="s">
        <v>523</v>
      </c>
      <c r="I98" s="1" t="s">
        <v>35</v>
      </c>
      <c r="J98" s="1" t="s">
        <v>524</v>
      </c>
      <c r="K98" s="1" t="s">
        <v>525</v>
      </c>
      <c r="Q98" s="2" t="s">
        <v>511</v>
      </c>
      <c r="S98" s="2" t="s">
        <v>526</v>
      </c>
      <c r="T98" s="2" t="s">
        <v>527</v>
      </c>
      <c r="V98" s="1" t="s">
        <v>528</v>
      </c>
      <c r="X98" s="1" t="s">
        <v>468</v>
      </c>
      <c r="Y98" s="1" t="s">
        <v>529</v>
      </c>
      <c r="AB98" s="1" t="s">
        <v>45</v>
      </c>
      <c r="AC98" s="1" t="s">
        <v>45</v>
      </c>
    </row>
    <row r="99" customFormat="false" ht="13.8" hidden="false" customHeight="false" outlineLevel="0" collapsed="false">
      <c r="A99" s="1" t="s">
        <v>530</v>
      </c>
      <c r="B99" s="1" t="s">
        <v>531</v>
      </c>
      <c r="D99" s="1" t="s">
        <v>78</v>
      </c>
      <c r="E99" s="1" t="s">
        <v>79</v>
      </c>
      <c r="F99" s="1" t="s">
        <v>35</v>
      </c>
      <c r="G99" s="1" t="s">
        <v>81</v>
      </c>
      <c r="H99" s="1" t="s">
        <v>38</v>
      </c>
      <c r="M99" s="1" t="s">
        <v>532</v>
      </c>
      <c r="Q99" s="2" t="s">
        <v>130</v>
      </c>
      <c r="S99" s="2" t="s">
        <v>533</v>
      </c>
      <c r="T99" s="2" t="s">
        <v>534</v>
      </c>
      <c r="V99" s="1" t="s">
        <v>535</v>
      </c>
      <c r="X99" s="1" t="s">
        <v>468</v>
      </c>
      <c r="AB99" s="1" t="s">
        <v>536</v>
      </c>
      <c r="AC99" s="1" t="s">
        <v>60</v>
      </c>
    </row>
    <row r="100" customFormat="false" ht="13.8" hidden="false" customHeight="false" outlineLevel="0" collapsed="false">
      <c r="A100" s="1" t="s">
        <v>537</v>
      </c>
      <c r="B100" s="1" t="s">
        <v>538</v>
      </c>
      <c r="D100" s="1" t="s">
        <v>78</v>
      </c>
      <c r="E100" s="1" t="s">
        <v>35</v>
      </c>
      <c r="F100" s="1" t="s">
        <v>79</v>
      </c>
      <c r="G100" s="1" t="s">
        <v>81</v>
      </c>
      <c r="H100" s="1" t="s">
        <v>38</v>
      </c>
      <c r="M100" s="1" t="s">
        <v>539</v>
      </c>
      <c r="N100" s="1" t="s">
        <v>540</v>
      </c>
      <c r="Q100" s="2" t="s">
        <v>541</v>
      </c>
      <c r="S100" s="2" t="s">
        <v>541</v>
      </c>
      <c r="T100" s="2" t="s">
        <v>542</v>
      </c>
      <c r="V100" s="1" t="s">
        <v>543</v>
      </c>
      <c r="X100" s="1" t="s">
        <v>468</v>
      </c>
      <c r="Y100" s="1" t="s">
        <v>45</v>
      </c>
      <c r="AB100" s="1" t="s">
        <v>544</v>
      </c>
      <c r="AC100" s="1" t="s">
        <v>142</v>
      </c>
    </row>
    <row r="101" customFormat="false" ht="13.8" hidden="false" customHeight="false" outlineLevel="0" collapsed="false">
      <c r="A101" s="1" t="s">
        <v>545</v>
      </c>
      <c r="B101" s="1" t="s">
        <v>546</v>
      </c>
      <c r="D101" s="1" t="s">
        <v>78</v>
      </c>
      <c r="E101" s="1" t="s">
        <v>35</v>
      </c>
      <c r="F101" s="1" t="s">
        <v>79</v>
      </c>
      <c r="G101" s="1" t="s">
        <v>80</v>
      </c>
      <c r="H101" s="1" t="s">
        <v>38</v>
      </c>
      <c r="I101" s="1" t="s">
        <v>212</v>
      </c>
      <c r="Q101" s="2" t="s">
        <v>547</v>
      </c>
      <c r="S101" s="2" t="s">
        <v>442</v>
      </c>
      <c r="T101" s="2" t="s">
        <v>442</v>
      </c>
      <c r="V101" s="1" t="s">
        <v>283</v>
      </c>
      <c r="X101" s="1" t="s">
        <v>468</v>
      </c>
      <c r="Y101" s="1" t="s">
        <v>45</v>
      </c>
      <c r="AB101" s="1" t="s">
        <v>548</v>
      </c>
      <c r="AC101" s="1" t="s">
        <v>142</v>
      </c>
    </row>
    <row r="102" customFormat="false" ht="13.8" hidden="false" customHeight="false" outlineLevel="0" collapsed="false">
      <c r="A102" s="1" t="s">
        <v>549</v>
      </c>
      <c r="B102" s="1" t="s">
        <v>550</v>
      </c>
      <c r="D102" s="1" t="s">
        <v>78</v>
      </c>
      <c r="E102" s="1" t="s">
        <v>35</v>
      </c>
      <c r="F102" s="1" t="s">
        <v>79</v>
      </c>
      <c r="G102" s="1" t="s">
        <v>551</v>
      </c>
      <c r="H102" s="1" t="s">
        <v>38</v>
      </c>
      <c r="M102" s="1" t="s">
        <v>552</v>
      </c>
      <c r="N102" s="1" t="s">
        <v>553</v>
      </c>
      <c r="O102" s="1" t="s">
        <v>554</v>
      </c>
      <c r="Q102" s="2" t="s">
        <v>555</v>
      </c>
      <c r="S102" s="2" t="s">
        <v>556</v>
      </c>
      <c r="T102" s="2" t="s">
        <v>556</v>
      </c>
      <c r="V102" s="1" t="s">
        <v>557</v>
      </c>
      <c r="X102" s="1" t="s">
        <v>468</v>
      </c>
      <c r="Y102" s="1" t="s">
        <v>558</v>
      </c>
      <c r="AB102" s="1" t="s">
        <v>548</v>
      </c>
      <c r="AC102" s="1" t="s">
        <v>142</v>
      </c>
    </row>
    <row r="103" customFormat="false" ht="13.8" hidden="false" customHeight="false" outlineLevel="0" collapsed="false">
      <c r="A103" s="1" t="s">
        <v>559</v>
      </c>
      <c r="B103" s="1" t="s">
        <v>560</v>
      </c>
      <c r="D103" s="1" t="s">
        <v>78</v>
      </c>
      <c r="E103" s="1" t="s">
        <v>35</v>
      </c>
      <c r="F103" s="1" t="s">
        <v>36</v>
      </c>
      <c r="G103" s="1" t="s">
        <v>79</v>
      </c>
      <c r="H103" s="1" t="s">
        <v>80</v>
      </c>
      <c r="I103" s="1" t="s">
        <v>38</v>
      </c>
      <c r="M103" s="1" t="s">
        <v>561</v>
      </c>
      <c r="Q103" s="2" t="s">
        <v>562</v>
      </c>
      <c r="S103" s="2" t="s">
        <v>442</v>
      </c>
      <c r="T103" s="2" t="s">
        <v>416</v>
      </c>
      <c r="V103" s="1" t="s">
        <v>563</v>
      </c>
      <c r="X103" s="1" t="s">
        <v>468</v>
      </c>
      <c r="Y103" s="1" t="s">
        <v>564</v>
      </c>
      <c r="AB103" s="1" t="s">
        <v>45</v>
      </c>
      <c r="AC103" s="1" t="s">
        <v>45</v>
      </c>
    </row>
    <row r="104" customFormat="false" ht="13.8" hidden="false" customHeight="false" outlineLevel="0" collapsed="false">
      <c r="A104" s="1" t="s">
        <v>565</v>
      </c>
      <c r="B104" s="1" t="s">
        <v>566</v>
      </c>
      <c r="D104" s="1" t="s">
        <v>78</v>
      </c>
      <c r="E104" s="1" t="s">
        <v>35</v>
      </c>
      <c r="F104" s="1" t="s">
        <v>567</v>
      </c>
      <c r="G104" s="1" t="s">
        <v>79</v>
      </c>
      <c r="H104" s="1" t="s">
        <v>38</v>
      </c>
      <c r="Q104" s="2" t="s">
        <v>568</v>
      </c>
      <c r="S104" s="2" t="s">
        <v>569</v>
      </c>
      <c r="T104" s="2" t="s">
        <v>502</v>
      </c>
      <c r="V104" s="1" t="s">
        <v>570</v>
      </c>
      <c r="X104" s="1" t="s">
        <v>468</v>
      </c>
      <c r="Y104" s="1" t="s">
        <v>571</v>
      </c>
      <c r="AB104" s="1" t="s">
        <v>45</v>
      </c>
      <c r="AC104" s="1" t="s">
        <v>45</v>
      </c>
    </row>
    <row r="105" customFormat="false" ht="13.8" hidden="false" customHeight="false" outlineLevel="0" collapsed="false">
      <c r="A105" s="1" t="s">
        <v>572</v>
      </c>
      <c r="B105" s="1" t="s">
        <v>573</v>
      </c>
      <c r="D105" s="1" t="s">
        <v>78</v>
      </c>
      <c r="E105" s="1" t="s">
        <v>35</v>
      </c>
      <c r="F105" s="1" t="s">
        <v>80</v>
      </c>
      <c r="G105" s="1" t="s">
        <v>79</v>
      </c>
      <c r="H105" s="1" t="s">
        <v>38</v>
      </c>
      <c r="I105" s="1" t="s">
        <v>521</v>
      </c>
      <c r="M105" s="1" t="s">
        <v>574</v>
      </c>
      <c r="Q105" s="2" t="s">
        <v>575</v>
      </c>
      <c r="S105" s="2" t="s">
        <v>576</v>
      </c>
      <c r="T105" s="2" t="s">
        <v>576</v>
      </c>
      <c r="V105" s="1" t="s">
        <v>48</v>
      </c>
      <c r="X105" s="1" t="s">
        <v>468</v>
      </c>
      <c r="Y105" s="1" t="s">
        <v>577</v>
      </c>
      <c r="AB105" s="1" t="s">
        <v>45</v>
      </c>
      <c r="AC105" s="1" t="s">
        <v>45</v>
      </c>
    </row>
    <row r="106" customFormat="false" ht="13.8" hidden="false" customHeight="false" outlineLevel="0" collapsed="false">
      <c r="A106" s="1" t="s">
        <v>578</v>
      </c>
      <c r="B106" s="1" t="s">
        <v>579</v>
      </c>
      <c r="D106" s="1" t="s">
        <v>63</v>
      </c>
      <c r="Q106" s="2" t="s">
        <v>580</v>
      </c>
      <c r="T106" s="2" t="s">
        <v>581</v>
      </c>
      <c r="V106" s="1" t="s">
        <v>582</v>
      </c>
      <c r="X106" s="1" t="s">
        <v>468</v>
      </c>
      <c r="Y106" s="1" t="s">
        <v>583</v>
      </c>
      <c r="AF106" s="1" t="s">
        <v>584</v>
      </c>
    </row>
    <row r="107" customFormat="false" ht="13.8" hidden="false" customHeight="false" outlineLevel="0" collapsed="false">
      <c r="A107" s="1" t="s">
        <v>585</v>
      </c>
      <c r="B107" s="1" t="s">
        <v>586</v>
      </c>
      <c r="D107" s="1" t="s">
        <v>34</v>
      </c>
      <c r="E107" s="1" t="s">
        <v>36</v>
      </c>
      <c r="F107" s="1" t="s">
        <v>587</v>
      </c>
      <c r="G107" s="1" t="s">
        <v>588</v>
      </c>
      <c r="H107" s="1" t="s">
        <v>589</v>
      </c>
      <c r="I107" s="1" t="s">
        <v>590</v>
      </c>
      <c r="M107" s="1" t="s">
        <v>591</v>
      </c>
      <c r="N107" s="1" t="s">
        <v>592</v>
      </c>
      <c r="Q107" s="2" t="s">
        <v>147</v>
      </c>
      <c r="S107" s="2" t="s">
        <v>593</v>
      </c>
      <c r="T107" s="2" t="s">
        <v>593</v>
      </c>
      <c r="V107" s="1" t="s">
        <v>164</v>
      </c>
      <c r="X107" s="1" t="s">
        <v>468</v>
      </c>
      <c r="Y107" s="1" t="s">
        <v>594</v>
      </c>
      <c r="AB107" s="1" t="s">
        <v>595</v>
      </c>
      <c r="AC107" s="1" t="s">
        <v>60</v>
      </c>
    </row>
    <row r="108" customFormat="false" ht="13.8" hidden="false" customHeight="false" outlineLevel="0" collapsed="false">
      <c r="A108" s="1" t="s">
        <v>596</v>
      </c>
      <c r="B108" s="1" t="s">
        <v>597</v>
      </c>
      <c r="D108" s="1" t="s">
        <v>225</v>
      </c>
      <c r="E108" s="1" t="s">
        <v>79</v>
      </c>
      <c r="F108" s="1" t="s">
        <v>35</v>
      </c>
      <c r="G108" s="1" t="s">
        <v>38</v>
      </c>
      <c r="H108" s="1" t="s">
        <v>64</v>
      </c>
      <c r="M108" s="1" t="s">
        <v>598</v>
      </c>
      <c r="Q108" s="2" t="s">
        <v>541</v>
      </c>
      <c r="S108" s="2" t="s">
        <v>188</v>
      </c>
      <c r="T108" s="2" t="s">
        <v>188</v>
      </c>
      <c r="V108" s="1" t="s">
        <v>45</v>
      </c>
      <c r="W108" s="1" t="s">
        <v>599</v>
      </c>
      <c r="X108" s="1" t="s">
        <v>468</v>
      </c>
      <c r="Y108" s="1" t="s">
        <v>45</v>
      </c>
      <c r="AB108" s="1" t="s">
        <v>600</v>
      </c>
      <c r="AC108" s="1" t="s">
        <v>142</v>
      </c>
    </row>
    <row r="109" customFormat="false" ht="13.8" hidden="false" customHeight="false" outlineLevel="0" collapsed="false">
      <c r="A109" s="1" t="s">
        <v>601</v>
      </c>
      <c r="B109" s="1" t="s">
        <v>602</v>
      </c>
      <c r="D109" s="1" t="s">
        <v>225</v>
      </c>
      <c r="E109" s="1" t="s">
        <v>79</v>
      </c>
      <c r="F109" s="1" t="s">
        <v>35</v>
      </c>
      <c r="G109" s="1" t="s">
        <v>38</v>
      </c>
      <c r="H109" s="1" t="s">
        <v>64</v>
      </c>
      <c r="Q109" s="2" t="s">
        <v>603</v>
      </c>
      <c r="S109" s="2" t="s">
        <v>604</v>
      </c>
      <c r="T109" s="2" t="s">
        <v>604</v>
      </c>
      <c r="V109" s="1" t="s">
        <v>467</v>
      </c>
      <c r="W109" s="1" t="s">
        <v>605</v>
      </c>
      <c r="X109" s="1" t="s">
        <v>468</v>
      </c>
      <c r="Y109" s="1" t="s">
        <v>45</v>
      </c>
      <c r="AB109" s="1" t="s">
        <v>600</v>
      </c>
      <c r="AC109" s="1" t="s">
        <v>142</v>
      </c>
    </row>
    <row r="110" customFormat="false" ht="13.8" hidden="false" customHeight="false" outlineLevel="0" collapsed="false">
      <c r="A110" s="1" t="s">
        <v>606</v>
      </c>
      <c r="B110" s="1" t="s">
        <v>607</v>
      </c>
      <c r="D110" s="1" t="s">
        <v>225</v>
      </c>
      <c r="E110" s="1" t="s">
        <v>79</v>
      </c>
      <c r="F110" s="1" t="s">
        <v>35</v>
      </c>
      <c r="G110" s="1" t="s">
        <v>38</v>
      </c>
      <c r="M110" s="1" t="s">
        <v>608</v>
      </c>
      <c r="Q110" s="2" t="s">
        <v>603</v>
      </c>
      <c r="S110" s="2" t="s">
        <v>609</v>
      </c>
      <c r="T110" s="2" t="s">
        <v>610</v>
      </c>
      <c r="V110" s="1" t="s">
        <v>45</v>
      </c>
      <c r="X110" s="1" t="s">
        <v>468</v>
      </c>
      <c r="Y110" s="1" t="s">
        <v>45</v>
      </c>
      <c r="AB110" s="1" t="s">
        <v>600</v>
      </c>
      <c r="AC110" s="1" t="s">
        <v>142</v>
      </c>
    </row>
    <row r="111" customFormat="false" ht="13.8" hidden="false" customHeight="false" outlineLevel="0" collapsed="false">
      <c r="A111" s="1" t="s">
        <v>611</v>
      </c>
      <c r="B111" s="1" t="s">
        <v>607</v>
      </c>
      <c r="D111" s="1" t="s">
        <v>225</v>
      </c>
      <c r="E111" s="1" t="s">
        <v>612</v>
      </c>
      <c r="F111" s="1" t="s">
        <v>79</v>
      </c>
      <c r="G111" s="1" t="s">
        <v>128</v>
      </c>
      <c r="H111" s="1" t="s">
        <v>35</v>
      </c>
      <c r="M111" s="1" t="s">
        <v>613</v>
      </c>
      <c r="N111" s="1" t="s">
        <v>614</v>
      </c>
      <c r="O111" s="1" t="s">
        <v>615</v>
      </c>
      <c r="Q111" s="2" t="s">
        <v>616</v>
      </c>
      <c r="S111" s="2" t="s">
        <v>617</v>
      </c>
      <c r="T111" s="2" t="s">
        <v>617</v>
      </c>
      <c r="V111" s="1" t="s">
        <v>618</v>
      </c>
      <c r="X111" s="1" t="s">
        <v>468</v>
      </c>
      <c r="Y111" s="1" t="s">
        <v>97</v>
      </c>
      <c r="AB111" s="1" t="s">
        <v>600</v>
      </c>
      <c r="AC111" s="1" t="s">
        <v>142</v>
      </c>
    </row>
    <row r="112" customFormat="false" ht="13.8" hidden="false" customHeight="false" outlineLevel="0" collapsed="false">
      <c r="A112" s="1" t="s">
        <v>619</v>
      </c>
      <c r="B112" s="1" t="s">
        <v>620</v>
      </c>
      <c r="D112" s="1" t="s">
        <v>621</v>
      </c>
      <c r="M112" s="1" t="s">
        <v>622</v>
      </c>
      <c r="T112" s="2" t="s">
        <v>623</v>
      </c>
      <c r="V112" s="1" t="s">
        <v>467</v>
      </c>
      <c r="X112" s="1" t="s">
        <v>468</v>
      </c>
      <c r="Y112" s="1" t="s">
        <v>45</v>
      </c>
      <c r="AB112" s="1" t="s">
        <v>59</v>
      </c>
      <c r="AC112" s="1" t="s">
        <v>222</v>
      </c>
    </row>
    <row r="113" customFormat="false" ht="13.8" hidden="false" customHeight="false" outlineLevel="0" collapsed="false">
      <c r="A113" s="1" t="s">
        <v>624</v>
      </c>
      <c r="B113" s="1" t="s">
        <v>625</v>
      </c>
      <c r="D113" s="1" t="s">
        <v>51</v>
      </c>
      <c r="T113" s="2" t="s">
        <v>626</v>
      </c>
      <c r="V113" s="1" t="s">
        <v>627</v>
      </c>
      <c r="X113" s="1" t="s">
        <v>468</v>
      </c>
      <c r="Y113" s="1" t="s">
        <v>45</v>
      </c>
      <c r="AB113" s="1" t="s">
        <v>59</v>
      </c>
      <c r="AC113" s="1" t="s">
        <v>142</v>
      </c>
    </row>
    <row r="114" customFormat="false" ht="13.8" hidden="false" customHeight="false" outlineLevel="0" collapsed="false">
      <c r="A114" s="1" t="s">
        <v>628</v>
      </c>
      <c r="B114" s="1" t="s">
        <v>629</v>
      </c>
      <c r="D114" s="1" t="s">
        <v>51</v>
      </c>
      <c r="E114" s="1" t="s">
        <v>75</v>
      </c>
      <c r="M114" s="1" t="s">
        <v>630</v>
      </c>
      <c r="N114" s="1" t="s">
        <v>631</v>
      </c>
      <c r="O114" s="1" t="s">
        <v>632</v>
      </c>
      <c r="P114" s="1" t="s">
        <v>633</v>
      </c>
      <c r="Q114" s="2" t="s">
        <v>634</v>
      </c>
      <c r="S114" s="2" t="s">
        <v>635</v>
      </c>
      <c r="T114" s="2" t="s">
        <v>636</v>
      </c>
      <c r="V114" s="1" t="s">
        <v>563</v>
      </c>
      <c r="W114" s="1" t="s">
        <v>605</v>
      </c>
      <c r="X114" s="1" t="s">
        <v>468</v>
      </c>
      <c r="Y114" s="1" t="s">
        <v>97</v>
      </c>
      <c r="AB114" s="1" t="s">
        <v>59</v>
      </c>
      <c r="AC114" s="1" t="s">
        <v>222</v>
      </c>
    </row>
    <row r="115" customFormat="false" ht="13.8" hidden="false" customHeight="false" outlineLevel="0" collapsed="false">
      <c r="A115" s="1" t="s">
        <v>637</v>
      </c>
      <c r="B115" s="1" t="s">
        <v>638</v>
      </c>
      <c r="D115" s="1" t="s">
        <v>487</v>
      </c>
      <c r="E115" s="1" t="s">
        <v>488</v>
      </c>
      <c r="T115" s="2" t="s">
        <v>639</v>
      </c>
      <c r="V115" s="1" t="s">
        <v>164</v>
      </c>
      <c r="X115" s="1" t="s">
        <v>468</v>
      </c>
      <c r="Y115" s="1" t="s">
        <v>640</v>
      </c>
      <c r="AB115" s="1" t="s">
        <v>59</v>
      </c>
      <c r="AC115" s="1" t="s">
        <v>142</v>
      </c>
    </row>
    <row r="116" customFormat="false" ht="13.8" hidden="false" customHeight="false" outlineLevel="0" collapsed="false">
      <c r="A116" s="1" t="s">
        <v>641</v>
      </c>
      <c r="B116" s="1" t="s">
        <v>642</v>
      </c>
      <c r="D116" s="1" t="s">
        <v>462</v>
      </c>
      <c r="E116" s="1" t="s">
        <v>93</v>
      </c>
      <c r="F116" s="1" t="s">
        <v>35</v>
      </c>
      <c r="G116" s="1" t="s">
        <v>81</v>
      </c>
      <c r="H116" s="1" t="s">
        <v>38</v>
      </c>
      <c r="M116" s="1" t="s">
        <v>643</v>
      </c>
      <c r="T116" s="2" t="s">
        <v>159</v>
      </c>
      <c r="V116" s="1" t="s">
        <v>644</v>
      </c>
      <c r="X116" s="1" t="s">
        <v>468</v>
      </c>
      <c r="Y116" s="1" t="s">
        <v>645</v>
      </c>
      <c r="AB116" s="1" t="s">
        <v>59</v>
      </c>
      <c r="AC116" s="1" t="s">
        <v>142</v>
      </c>
    </row>
    <row r="117" customFormat="false" ht="13.8" hidden="false" customHeight="false" outlineLevel="0" collapsed="false">
      <c r="A117" s="1" t="s">
        <v>646</v>
      </c>
      <c r="B117" s="1" t="s">
        <v>647</v>
      </c>
      <c r="D117" s="1" t="s">
        <v>462</v>
      </c>
      <c r="E117" s="1" t="s">
        <v>93</v>
      </c>
      <c r="F117" s="1" t="s">
        <v>35</v>
      </c>
      <c r="G117" s="1" t="s">
        <v>81</v>
      </c>
      <c r="H117" s="1" t="s">
        <v>38</v>
      </c>
      <c r="M117" s="1" t="s">
        <v>643</v>
      </c>
      <c r="T117" s="2" t="s">
        <v>159</v>
      </c>
      <c r="V117" s="1" t="s">
        <v>648</v>
      </c>
      <c r="X117" s="1" t="s">
        <v>468</v>
      </c>
      <c r="Y117" s="1" t="s">
        <v>645</v>
      </c>
      <c r="AB117" s="1" t="s">
        <v>59</v>
      </c>
      <c r="AC117" s="1" t="s">
        <v>142</v>
      </c>
    </row>
    <row r="118" customFormat="false" ht="13.8" hidden="false" customHeight="false" outlineLevel="0" collapsed="false">
      <c r="A118" s="1" t="s">
        <v>649</v>
      </c>
      <c r="B118" s="1" t="s">
        <v>650</v>
      </c>
      <c r="D118" s="1" t="s">
        <v>462</v>
      </c>
      <c r="E118" s="1" t="s">
        <v>93</v>
      </c>
      <c r="F118" s="1" t="s">
        <v>35</v>
      </c>
      <c r="G118" s="1" t="s">
        <v>81</v>
      </c>
      <c r="H118" s="1" t="s">
        <v>38</v>
      </c>
      <c r="M118" s="1" t="s">
        <v>643</v>
      </c>
      <c r="T118" s="2" t="s">
        <v>159</v>
      </c>
      <c r="V118" s="1" t="s">
        <v>648</v>
      </c>
      <c r="X118" s="1" t="s">
        <v>468</v>
      </c>
      <c r="Y118" s="1" t="s">
        <v>645</v>
      </c>
      <c r="AB118" s="1" t="s">
        <v>59</v>
      </c>
      <c r="AC118" s="1" t="s">
        <v>142</v>
      </c>
    </row>
    <row r="119" customFormat="false" ht="13.8" hidden="false" customHeight="false" outlineLevel="0" collapsed="false">
      <c r="A119" s="1" t="s">
        <v>651</v>
      </c>
      <c r="B119" s="1" t="s">
        <v>652</v>
      </c>
      <c r="D119" s="1" t="s">
        <v>462</v>
      </c>
      <c r="E119" s="1" t="s">
        <v>93</v>
      </c>
      <c r="F119" s="1" t="s">
        <v>35</v>
      </c>
      <c r="M119" s="1" t="s">
        <v>643</v>
      </c>
      <c r="T119" s="2" t="s">
        <v>159</v>
      </c>
      <c r="V119" s="1" t="s">
        <v>472</v>
      </c>
      <c r="X119" s="1" t="s">
        <v>468</v>
      </c>
      <c r="Y119" s="1" t="s">
        <v>645</v>
      </c>
      <c r="AB119" s="1" t="s">
        <v>59</v>
      </c>
      <c r="AC119" s="1" t="s">
        <v>142</v>
      </c>
    </row>
    <row r="120" customFormat="false" ht="13.8" hidden="false" customHeight="false" outlineLevel="0" collapsed="false">
      <c r="A120" s="1" t="s">
        <v>653</v>
      </c>
      <c r="B120" s="1" t="s">
        <v>654</v>
      </c>
      <c r="D120" s="1" t="s">
        <v>386</v>
      </c>
      <c r="E120" s="1" t="s">
        <v>655</v>
      </c>
      <c r="F120" s="1" t="s">
        <v>35</v>
      </c>
      <c r="G120" s="1" t="s">
        <v>38</v>
      </c>
      <c r="M120" s="1" t="s">
        <v>656</v>
      </c>
      <c r="N120" s="1" t="s">
        <v>657</v>
      </c>
      <c r="T120" s="2" t="s">
        <v>658</v>
      </c>
      <c r="V120" s="1" t="s">
        <v>117</v>
      </c>
      <c r="X120" s="1" t="s">
        <v>468</v>
      </c>
      <c r="Y120" s="1" t="s">
        <v>97</v>
      </c>
      <c r="AB120" s="1" t="s">
        <v>59</v>
      </c>
      <c r="AC120" s="1" t="s">
        <v>142</v>
      </c>
    </row>
    <row r="121" customFormat="false" ht="13.8" hidden="false" customHeight="false" outlineLevel="0" collapsed="false">
      <c r="A121" s="1" t="s">
        <v>659</v>
      </c>
      <c r="B121" s="1" t="s">
        <v>660</v>
      </c>
      <c r="D121" s="1" t="s">
        <v>661</v>
      </c>
      <c r="T121" s="2" t="s">
        <v>662</v>
      </c>
      <c r="V121" s="1" t="s">
        <v>443</v>
      </c>
      <c r="X121" s="1" t="s">
        <v>468</v>
      </c>
      <c r="Y121" s="1" t="s">
        <v>97</v>
      </c>
      <c r="AB121" s="1" t="s">
        <v>663</v>
      </c>
      <c r="AC121" s="1" t="s">
        <v>142</v>
      </c>
    </row>
    <row r="122" customFormat="false" ht="13.8" hidden="false" customHeight="false" outlineLevel="0" collapsed="false">
      <c r="A122" s="1" t="s">
        <v>664</v>
      </c>
      <c r="B122" s="1" t="s">
        <v>665</v>
      </c>
      <c r="D122" s="1" t="s">
        <v>661</v>
      </c>
      <c r="T122" s="2" t="s">
        <v>666</v>
      </c>
      <c r="V122" s="1" t="s">
        <v>269</v>
      </c>
      <c r="X122" s="1" t="s">
        <v>468</v>
      </c>
      <c r="Y122" s="1" t="s">
        <v>97</v>
      </c>
      <c r="AB122" s="1" t="s">
        <v>59</v>
      </c>
      <c r="AC122" s="1" t="s">
        <v>142</v>
      </c>
    </row>
    <row r="123" customFormat="false" ht="13.8" hidden="false" customHeight="false" outlineLevel="0" collapsed="false">
      <c r="A123" s="1" t="s">
        <v>667</v>
      </c>
      <c r="B123" s="1" t="s">
        <v>668</v>
      </c>
      <c r="D123" s="1" t="s">
        <v>225</v>
      </c>
      <c r="E123" s="1" t="s">
        <v>66</v>
      </c>
      <c r="F123" s="1" t="s">
        <v>35</v>
      </c>
      <c r="G123" s="1" t="s">
        <v>38</v>
      </c>
      <c r="H123" s="1" t="s">
        <v>101</v>
      </c>
      <c r="Q123" s="1" t="s">
        <v>45</v>
      </c>
      <c r="T123" s="2" t="s">
        <v>669</v>
      </c>
      <c r="V123" s="1" t="s">
        <v>283</v>
      </c>
      <c r="X123" s="1" t="s">
        <v>468</v>
      </c>
      <c r="Y123" s="1" t="s">
        <v>529</v>
      </c>
      <c r="AB123" s="1" t="s">
        <v>45</v>
      </c>
      <c r="AC123" s="1" t="s">
        <v>45</v>
      </c>
    </row>
    <row r="124" customFormat="false" ht="13.8" hidden="false" customHeight="false" outlineLevel="0" collapsed="false">
      <c r="A124" s="1" t="s">
        <v>670</v>
      </c>
      <c r="B124" s="1" t="s">
        <v>671</v>
      </c>
      <c r="D124" s="1" t="s">
        <v>225</v>
      </c>
      <c r="T124" s="2" t="s">
        <v>672</v>
      </c>
      <c r="V124" s="1" t="s">
        <v>443</v>
      </c>
      <c r="X124" s="1" t="s">
        <v>468</v>
      </c>
      <c r="Y124" s="1" t="s">
        <v>673</v>
      </c>
    </row>
    <row r="125" customFormat="false" ht="13.8" hidden="false" customHeight="false" outlineLevel="0" collapsed="false">
      <c r="A125" s="1" t="s">
        <v>674</v>
      </c>
      <c r="B125" s="1" t="s">
        <v>675</v>
      </c>
      <c r="D125" s="1" t="s">
        <v>225</v>
      </c>
      <c r="T125" s="2" t="s">
        <v>672</v>
      </c>
      <c r="V125" s="1" t="s">
        <v>443</v>
      </c>
      <c r="X125" s="1" t="s">
        <v>468</v>
      </c>
      <c r="Y125" s="1" t="s">
        <v>673</v>
      </c>
    </row>
    <row r="126" customFormat="false" ht="13.8" hidden="false" customHeight="false" outlineLevel="0" collapsed="false">
      <c r="A126" s="1" t="s">
        <v>676</v>
      </c>
      <c r="B126" s="1" t="s">
        <v>677</v>
      </c>
      <c r="D126" s="1" t="s">
        <v>51</v>
      </c>
      <c r="T126" s="2" t="s">
        <v>405</v>
      </c>
      <c r="V126" s="1" t="s">
        <v>563</v>
      </c>
      <c r="X126" s="1" t="s">
        <v>468</v>
      </c>
      <c r="Y126" s="1" t="s">
        <v>678</v>
      </c>
    </row>
    <row r="127" customFormat="false" ht="13.8" hidden="false" customHeight="false" outlineLevel="0" collapsed="false">
      <c r="A127" s="1" t="s">
        <v>679</v>
      </c>
      <c r="B127" s="1" t="s">
        <v>680</v>
      </c>
      <c r="D127" s="1" t="s">
        <v>225</v>
      </c>
      <c r="Q127" s="1" t="s">
        <v>45</v>
      </c>
      <c r="T127" s="2" t="s">
        <v>681</v>
      </c>
      <c r="V127" s="1" t="s">
        <v>682</v>
      </c>
      <c r="X127" s="1" t="s">
        <v>468</v>
      </c>
      <c r="Y127" s="1" t="s">
        <v>683</v>
      </c>
      <c r="AB127" s="1" t="s">
        <v>59</v>
      </c>
      <c r="AC127" s="1" t="s">
        <v>338</v>
      </c>
      <c r="AG127" s="0" t="n">
        <v>1</v>
      </c>
    </row>
    <row r="128" customFormat="false" ht="13.8" hidden="false" customHeight="false" outlineLevel="0" collapsed="false">
      <c r="A128" s="1" t="s">
        <v>684</v>
      </c>
      <c r="B128" s="1" t="s">
        <v>685</v>
      </c>
      <c r="D128" s="1" t="s">
        <v>225</v>
      </c>
      <c r="Q128" s="1" t="s">
        <v>45</v>
      </c>
      <c r="T128" s="2" t="s">
        <v>681</v>
      </c>
      <c r="V128" s="1" t="s">
        <v>682</v>
      </c>
      <c r="X128" s="1" t="s">
        <v>468</v>
      </c>
      <c r="Y128" s="1" t="s">
        <v>683</v>
      </c>
      <c r="AB128" s="1" t="s">
        <v>59</v>
      </c>
      <c r="AC128" s="1" t="s">
        <v>338</v>
      </c>
      <c r="AG128" s="0" t="n">
        <v>1</v>
      </c>
    </row>
    <row r="129" customFormat="false" ht="13.8" hidden="false" customHeight="false" outlineLevel="0" collapsed="false">
      <c r="A129" s="1" t="s">
        <v>686</v>
      </c>
      <c r="B129" s="1" t="s">
        <v>687</v>
      </c>
      <c r="D129" s="1" t="s">
        <v>225</v>
      </c>
      <c r="Q129" s="1" t="s">
        <v>45</v>
      </c>
      <c r="T129" s="2" t="s">
        <v>681</v>
      </c>
      <c r="V129" s="1" t="s">
        <v>682</v>
      </c>
      <c r="X129" s="1" t="s">
        <v>468</v>
      </c>
      <c r="Y129" s="1" t="s">
        <v>683</v>
      </c>
      <c r="AB129" s="1" t="s">
        <v>59</v>
      </c>
      <c r="AC129" s="1" t="s">
        <v>338</v>
      </c>
    </row>
    <row r="130" customFormat="false" ht="13.8" hidden="false" customHeight="false" outlineLevel="0" collapsed="false">
      <c r="A130" s="1" t="s">
        <v>688</v>
      </c>
      <c r="B130" s="1" t="s">
        <v>689</v>
      </c>
      <c r="D130" s="1" t="s">
        <v>78</v>
      </c>
      <c r="E130" s="1" t="s">
        <v>79</v>
      </c>
      <c r="F130" s="1" t="s">
        <v>35</v>
      </c>
      <c r="G130" s="1" t="s">
        <v>38</v>
      </c>
      <c r="H130" s="1" t="s">
        <v>66</v>
      </c>
      <c r="T130" s="2" t="s">
        <v>690</v>
      </c>
      <c r="V130" s="1" t="s">
        <v>48</v>
      </c>
      <c r="X130" s="1" t="s">
        <v>468</v>
      </c>
      <c r="Y130" s="1" t="s">
        <v>468</v>
      </c>
    </row>
    <row r="131" customFormat="false" ht="13.8" hidden="false" customHeight="false" outlineLevel="0" collapsed="false">
      <c r="A131" s="1" t="s">
        <v>691</v>
      </c>
      <c r="B131" s="1" t="s">
        <v>692</v>
      </c>
      <c r="D131" s="1" t="s">
        <v>51</v>
      </c>
      <c r="Q131" s="1" t="s">
        <v>45</v>
      </c>
      <c r="T131" s="2" t="s">
        <v>580</v>
      </c>
      <c r="V131" s="1" t="s">
        <v>164</v>
      </c>
      <c r="X131" s="1" t="s">
        <v>691</v>
      </c>
      <c r="Y131" s="1" t="s">
        <v>693</v>
      </c>
      <c r="AB131" s="1" t="s">
        <v>45</v>
      </c>
      <c r="AC131" s="1" t="s">
        <v>45</v>
      </c>
    </row>
    <row r="132" customFormat="false" ht="13.8" hidden="false" customHeight="false" outlineLevel="0" collapsed="false">
      <c r="A132" s="1" t="s">
        <v>694</v>
      </c>
      <c r="B132" s="1" t="s">
        <v>695</v>
      </c>
      <c r="D132" s="1" t="s">
        <v>51</v>
      </c>
      <c r="E132" s="1" t="s">
        <v>52</v>
      </c>
      <c r="F132" s="1" t="s">
        <v>153</v>
      </c>
      <c r="G132" s="1" t="s">
        <v>696</v>
      </c>
      <c r="H132" s="1" t="s">
        <v>38</v>
      </c>
      <c r="Q132" s="1" t="s">
        <v>45</v>
      </c>
      <c r="T132" s="2" t="s">
        <v>697</v>
      </c>
      <c r="V132" s="1" t="s">
        <v>443</v>
      </c>
      <c r="X132" s="1" t="s">
        <v>691</v>
      </c>
      <c r="Y132" s="1" t="s">
        <v>691</v>
      </c>
      <c r="AB132" s="1" t="s">
        <v>45</v>
      </c>
      <c r="AC132" s="1" t="s">
        <v>45</v>
      </c>
      <c r="AG132" s="0" t="n">
        <v>1</v>
      </c>
    </row>
    <row r="133" customFormat="false" ht="13.8" hidden="false" customHeight="false" outlineLevel="0" collapsed="false">
      <c r="A133" s="1" t="s">
        <v>698</v>
      </c>
      <c r="B133" s="1" t="s">
        <v>699</v>
      </c>
      <c r="D133" s="1" t="s">
        <v>225</v>
      </c>
      <c r="E133" s="1" t="s">
        <v>700</v>
      </c>
      <c r="F133" s="1" t="s">
        <v>701</v>
      </c>
      <c r="G133" s="1" t="s">
        <v>35</v>
      </c>
      <c r="H133" s="1" t="s">
        <v>38</v>
      </c>
      <c r="I133" s="1" t="s">
        <v>52</v>
      </c>
      <c r="Q133" s="2" t="s">
        <v>702</v>
      </c>
      <c r="S133" s="2" t="s">
        <v>703</v>
      </c>
      <c r="T133" s="2" t="s">
        <v>704</v>
      </c>
      <c r="V133" s="1" t="s">
        <v>429</v>
      </c>
      <c r="X133" s="1" t="s">
        <v>705</v>
      </c>
      <c r="Y133" s="1" t="s">
        <v>706</v>
      </c>
    </row>
    <row r="134" customFormat="false" ht="13.8" hidden="false" customHeight="false" outlineLevel="0" collapsed="false">
      <c r="A134" s="1" t="s">
        <v>707</v>
      </c>
      <c r="B134" s="1" t="s">
        <v>708</v>
      </c>
      <c r="D134" s="1" t="s">
        <v>709</v>
      </c>
      <c r="T134" s="2" t="s">
        <v>710</v>
      </c>
      <c r="V134" s="1" t="s">
        <v>711</v>
      </c>
      <c r="X134" s="1" t="s">
        <v>712</v>
      </c>
      <c r="Y134" s="1" t="s">
        <v>97</v>
      </c>
    </row>
    <row r="135" customFormat="false" ht="13.8" hidden="false" customHeight="false" outlineLevel="0" collapsed="false">
      <c r="A135" s="1" t="s">
        <v>713</v>
      </c>
      <c r="B135" s="1" t="s">
        <v>714</v>
      </c>
      <c r="D135" s="1" t="s">
        <v>452</v>
      </c>
      <c r="E135" s="1" t="s">
        <v>715</v>
      </c>
      <c r="F135" s="1" t="s">
        <v>716</v>
      </c>
      <c r="G135" s="1" t="s">
        <v>361</v>
      </c>
      <c r="H135" s="1" t="s">
        <v>193</v>
      </c>
      <c r="Q135" s="2" t="s">
        <v>717</v>
      </c>
      <c r="T135" s="2" t="s">
        <v>718</v>
      </c>
      <c r="V135" s="1" t="s">
        <v>648</v>
      </c>
      <c r="X135" s="1" t="s">
        <v>719</v>
      </c>
      <c r="Y135" s="1" t="s">
        <v>719</v>
      </c>
      <c r="AB135" s="1" t="s">
        <v>45</v>
      </c>
      <c r="AC135" s="1" t="s">
        <v>45</v>
      </c>
    </row>
    <row r="136" customFormat="false" ht="13.8" hidden="false" customHeight="false" outlineLevel="0" collapsed="false">
      <c r="A136" s="1" t="s">
        <v>720</v>
      </c>
      <c r="B136" s="1" t="s">
        <v>721</v>
      </c>
      <c r="D136" s="1" t="s">
        <v>452</v>
      </c>
      <c r="T136" s="2" t="s">
        <v>722</v>
      </c>
      <c r="V136" s="1" t="s">
        <v>42</v>
      </c>
      <c r="X136" s="1" t="s">
        <v>723</v>
      </c>
      <c r="Y136" s="1" t="s">
        <v>724</v>
      </c>
    </row>
    <row r="137" customFormat="false" ht="13.8" hidden="false" customHeight="false" outlineLevel="0" collapsed="false">
      <c r="A137" s="1" t="s">
        <v>725</v>
      </c>
      <c r="B137" s="1" t="s">
        <v>726</v>
      </c>
      <c r="D137" s="1" t="s">
        <v>727</v>
      </c>
      <c r="T137" s="2" t="s">
        <v>728</v>
      </c>
      <c r="V137" s="1" t="s">
        <v>42</v>
      </c>
      <c r="X137" s="1" t="s">
        <v>723</v>
      </c>
      <c r="Y137" s="1" t="s">
        <v>729</v>
      </c>
      <c r="AG137" s="0" t="n">
        <v>1</v>
      </c>
    </row>
    <row r="138" customFormat="false" ht="13.8" hidden="false" customHeight="false" outlineLevel="0" collapsed="false">
      <c r="A138" s="1" t="s">
        <v>730</v>
      </c>
      <c r="B138" s="1" t="s">
        <v>731</v>
      </c>
      <c r="D138" s="1" t="s">
        <v>727</v>
      </c>
      <c r="T138" s="2" t="s">
        <v>732</v>
      </c>
      <c r="V138" s="1" t="s">
        <v>733</v>
      </c>
      <c r="X138" s="1" t="s">
        <v>723</v>
      </c>
      <c r="Y138" s="1" t="s">
        <v>97</v>
      </c>
    </row>
    <row r="139" customFormat="false" ht="13.8" hidden="false" customHeight="false" outlineLevel="0" collapsed="false">
      <c r="A139" s="1" t="s">
        <v>734</v>
      </c>
      <c r="B139" s="1" t="s">
        <v>735</v>
      </c>
      <c r="D139" s="1" t="s">
        <v>225</v>
      </c>
      <c r="T139" s="2" t="s">
        <v>562</v>
      </c>
      <c r="V139" s="1" t="s">
        <v>164</v>
      </c>
      <c r="X139" s="1" t="s">
        <v>736</v>
      </c>
      <c r="Y139" s="1" t="s">
        <v>737</v>
      </c>
      <c r="AB139" s="1" t="s">
        <v>45</v>
      </c>
      <c r="AC139" s="1" t="s">
        <v>45</v>
      </c>
    </row>
    <row r="140" customFormat="false" ht="13.8" hidden="false" customHeight="false" outlineLevel="0" collapsed="false">
      <c r="A140" s="1" t="s">
        <v>738</v>
      </c>
      <c r="B140" s="1" t="s">
        <v>739</v>
      </c>
      <c r="D140" s="1" t="s">
        <v>740</v>
      </c>
      <c r="Q140" s="1" t="s">
        <v>45</v>
      </c>
      <c r="T140" s="2" t="s">
        <v>741</v>
      </c>
      <c r="V140" s="1" t="s">
        <v>332</v>
      </c>
      <c r="X140" s="1" t="s">
        <v>736</v>
      </c>
      <c r="Y140" s="1" t="s">
        <v>742</v>
      </c>
      <c r="AB140" s="1" t="s">
        <v>45</v>
      </c>
      <c r="AC140" s="1" t="s">
        <v>45</v>
      </c>
    </row>
    <row r="141" customFormat="false" ht="13.8" hidden="false" customHeight="false" outlineLevel="0" collapsed="false">
      <c r="A141" s="1" t="s">
        <v>743</v>
      </c>
      <c r="B141" s="1" t="s">
        <v>744</v>
      </c>
      <c r="D141" s="1" t="s">
        <v>225</v>
      </c>
      <c r="T141" s="2" t="s">
        <v>745</v>
      </c>
      <c r="V141" s="1" t="s">
        <v>746</v>
      </c>
      <c r="X141" s="1" t="s">
        <v>736</v>
      </c>
      <c r="Y141" s="1" t="s">
        <v>747</v>
      </c>
    </row>
    <row r="142" customFormat="false" ht="13.8" hidden="false" customHeight="false" outlineLevel="0" collapsed="false">
      <c r="A142" s="1" t="s">
        <v>748</v>
      </c>
      <c r="B142" s="1" t="s">
        <v>749</v>
      </c>
      <c r="D142" s="1" t="s">
        <v>78</v>
      </c>
      <c r="E142" s="1" t="s">
        <v>79</v>
      </c>
      <c r="F142" s="1" t="s">
        <v>525</v>
      </c>
      <c r="G142" s="1" t="s">
        <v>38</v>
      </c>
      <c r="H142" s="1" t="s">
        <v>35</v>
      </c>
      <c r="Q142" s="1" t="s">
        <v>45</v>
      </c>
      <c r="S142" s="2" t="s">
        <v>750</v>
      </c>
      <c r="T142" s="2" t="s">
        <v>751</v>
      </c>
      <c r="V142" s="1" t="s">
        <v>189</v>
      </c>
      <c r="X142" s="1" t="s">
        <v>752</v>
      </c>
      <c r="Y142" s="1" t="s">
        <v>753</v>
      </c>
      <c r="AB142" s="1" t="s">
        <v>45</v>
      </c>
      <c r="AC142" s="1" t="s">
        <v>45</v>
      </c>
      <c r="AE142" s="1" t="s">
        <v>45</v>
      </c>
    </row>
    <row r="143" customFormat="false" ht="13.8" hidden="false" customHeight="false" outlineLevel="0" collapsed="false">
      <c r="A143" s="1" t="s">
        <v>754</v>
      </c>
      <c r="B143" s="1" t="s">
        <v>755</v>
      </c>
      <c r="D143" s="1" t="s">
        <v>34</v>
      </c>
      <c r="E143" s="1" t="s">
        <v>79</v>
      </c>
      <c r="F143" s="1" t="s">
        <v>66</v>
      </c>
      <c r="G143" s="1" t="s">
        <v>38</v>
      </c>
      <c r="H143" s="1" t="s">
        <v>35</v>
      </c>
      <c r="Q143" s="1" t="s">
        <v>45</v>
      </c>
      <c r="S143" s="2" t="s">
        <v>750</v>
      </c>
      <c r="T143" s="2" t="s">
        <v>751</v>
      </c>
      <c r="V143" s="1" t="s">
        <v>756</v>
      </c>
      <c r="X143" s="1" t="s">
        <v>752</v>
      </c>
      <c r="Y143" s="1" t="s">
        <v>753</v>
      </c>
      <c r="AB143" s="1" t="s">
        <v>45</v>
      </c>
      <c r="AC143" s="1" t="s">
        <v>45</v>
      </c>
      <c r="AE143" s="1" t="s">
        <v>45</v>
      </c>
    </row>
    <row r="144" customFormat="false" ht="13.8" hidden="false" customHeight="false" outlineLevel="0" collapsed="false">
      <c r="A144" s="1" t="s">
        <v>757</v>
      </c>
      <c r="B144" s="1" t="s">
        <v>758</v>
      </c>
      <c r="D144" s="1" t="s">
        <v>34</v>
      </c>
      <c r="E144" s="1" t="s">
        <v>36</v>
      </c>
      <c r="F144" s="1" t="s">
        <v>477</v>
      </c>
      <c r="G144" s="1" t="s">
        <v>38</v>
      </c>
      <c r="H144" s="1" t="s">
        <v>759</v>
      </c>
      <c r="Q144" s="1" t="s">
        <v>45</v>
      </c>
      <c r="S144" s="2" t="s">
        <v>760</v>
      </c>
      <c r="T144" s="2" t="s">
        <v>760</v>
      </c>
      <c r="V144" s="1" t="s">
        <v>42</v>
      </c>
      <c r="X144" s="1" t="s">
        <v>752</v>
      </c>
      <c r="Y144" s="1" t="s">
        <v>761</v>
      </c>
      <c r="AB144" s="1" t="s">
        <v>45</v>
      </c>
      <c r="AC144" s="1" t="s">
        <v>45</v>
      </c>
      <c r="AE144" s="1" t="s">
        <v>45</v>
      </c>
    </row>
    <row r="145" customFormat="false" ht="13.8" hidden="false" customHeight="false" outlineLevel="0" collapsed="false">
      <c r="A145" s="1" t="s">
        <v>762</v>
      </c>
      <c r="B145" s="1" t="s">
        <v>763</v>
      </c>
      <c r="D145" s="1" t="s">
        <v>78</v>
      </c>
      <c r="E145" s="1" t="s">
        <v>79</v>
      </c>
      <c r="F145" s="1" t="s">
        <v>66</v>
      </c>
      <c r="Q145" s="2" t="s">
        <v>764</v>
      </c>
      <c r="T145" s="2" t="s">
        <v>765</v>
      </c>
      <c r="V145" s="1" t="s">
        <v>117</v>
      </c>
      <c r="X145" s="1" t="s">
        <v>752</v>
      </c>
      <c r="Y145" s="1" t="s">
        <v>766</v>
      </c>
      <c r="AB145" s="1" t="s">
        <v>45</v>
      </c>
      <c r="AC145" s="1" t="s">
        <v>45</v>
      </c>
    </row>
    <row r="146" customFormat="false" ht="13.8" hidden="false" customHeight="false" outlineLevel="0" collapsed="false">
      <c r="A146" s="1" t="s">
        <v>767</v>
      </c>
      <c r="B146" s="1" t="s">
        <v>768</v>
      </c>
      <c r="D146" s="1" t="s">
        <v>63</v>
      </c>
      <c r="E146" s="1" t="s">
        <v>35</v>
      </c>
      <c r="F146" s="1" t="s">
        <v>66</v>
      </c>
      <c r="G146" s="1" t="s">
        <v>64</v>
      </c>
      <c r="H146" s="1" t="s">
        <v>65</v>
      </c>
      <c r="I146" s="1" t="s">
        <v>38</v>
      </c>
      <c r="M146" s="1" t="s">
        <v>769</v>
      </c>
      <c r="Q146" s="2" t="s">
        <v>770</v>
      </c>
      <c r="S146" s="2" t="s">
        <v>771</v>
      </c>
      <c r="T146" s="2" t="s">
        <v>771</v>
      </c>
      <c r="V146" s="1" t="s">
        <v>772</v>
      </c>
      <c r="X146" s="1" t="s">
        <v>752</v>
      </c>
      <c r="Y146" s="1" t="s">
        <v>773</v>
      </c>
      <c r="AB146" s="1" t="s">
        <v>45</v>
      </c>
      <c r="AC146" s="1" t="s">
        <v>45</v>
      </c>
    </row>
    <row r="147" customFormat="false" ht="13.8" hidden="false" customHeight="false" outlineLevel="0" collapsed="false">
      <c r="A147" s="1" t="s">
        <v>774</v>
      </c>
      <c r="B147" s="1" t="s">
        <v>775</v>
      </c>
      <c r="D147" s="1" t="s">
        <v>776</v>
      </c>
      <c r="E147" s="1" t="s">
        <v>715</v>
      </c>
      <c r="F147" s="1" t="s">
        <v>361</v>
      </c>
      <c r="G147" s="1" t="s">
        <v>477</v>
      </c>
      <c r="H147" s="1" t="s">
        <v>701</v>
      </c>
      <c r="Q147" s="2" t="s">
        <v>777</v>
      </c>
      <c r="S147" s="2" t="s">
        <v>778</v>
      </c>
      <c r="T147" s="2" t="s">
        <v>779</v>
      </c>
      <c r="V147" s="1" t="s">
        <v>454</v>
      </c>
      <c r="X147" s="1" t="s">
        <v>752</v>
      </c>
      <c r="Y147" s="1" t="s">
        <v>780</v>
      </c>
      <c r="AB147" s="1" t="s">
        <v>45</v>
      </c>
      <c r="AC147" s="1" t="s">
        <v>45</v>
      </c>
    </row>
    <row r="148" customFormat="false" ht="13.8" hidden="false" customHeight="false" outlineLevel="0" collapsed="false">
      <c r="A148" s="1" t="s">
        <v>781</v>
      </c>
      <c r="B148" s="1" t="s">
        <v>782</v>
      </c>
      <c r="D148" s="1" t="s">
        <v>783</v>
      </c>
      <c r="E148" s="1" t="s">
        <v>37</v>
      </c>
      <c r="F148" s="1" t="s">
        <v>35</v>
      </c>
      <c r="G148" s="1" t="s">
        <v>36</v>
      </c>
      <c r="H148" s="1" t="s">
        <v>361</v>
      </c>
      <c r="I148" s="1" t="s">
        <v>91</v>
      </c>
      <c r="J148" s="1" t="s">
        <v>701</v>
      </c>
      <c r="K148" s="1" t="s">
        <v>784</v>
      </c>
      <c r="L148" s="1" t="s">
        <v>716</v>
      </c>
      <c r="Q148" s="2" t="s">
        <v>785</v>
      </c>
      <c r="S148" s="2" t="s">
        <v>786</v>
      </c>
      <c r="T148" s="2" t="s">
        <v>786</v>
      </c>
      <c r="V148" s="1" t="s">
        <v>332</v>
      </c>
      <c r="X148" s="1" t="s">
        <v>752</v>
      </c>
      <c r="Y148" s="1" t="s">
        <v>787</v>
      </c>
      <c r="AB148" s="1" t="s">
        <v>45</v>
      </c>
      <c r="AC148" s="1" t="s">
        <v>45</v>
      </c>
    </row>
    <row r="149" customFormat="false" ht="13.8" hidden="false" customHeight="false" outlineLevel="0" collapsed="false">
      <c r="A149" s="1" t="s">
        <v>788</v>
      </c>
      <c r="B149" s="1" t="s">
        <v>789</v>
      </c>
      <c r="D149" s="1" t="s">
        <v>783</v>
      </c>
      <c r="E149" s="1" t="s">
        <v>790</v>
      </c>
      <c r="F149" s="1" t="s">
        <v>477</v>
      </c>
      <c r="G149" s="1" t="s">
        <v>361</v>
      </c>
      <c r="H149" s="1" t="s">
        <v>716</v>
      </c>
      <c r="Q149" s="2" t="s">
        <v>791</v>
      </c>
      <c r="S149" s="2" t="s">
        <v>792</v>
      </c>
      <c r="T149" s="2" t="s">
        <v>793</v>
      </c>
      <c r="V149" s="1" t="s">
        <v>794</v>
      </c>
      <c r="X149" s="1" t="s">
        <v>752</v>
      </c>
      <c r="Y149" s="1" t="s">
        <v>795</v>
      </c>
      <c r="AB149" s="1" t="s">
        <v>45</v>
      </c>
      <c r="AC149" s="1" t="s">
        <v>45</v>
      </c>
    </row>
    <row r="150" customFormat="false" ht="13.8" hidden="false" customHeight="false" outlineLevel="0" collapsed="false">
      <c r="A150" s="1" t="s">
        <v>796</v>
      </c>
      <c r="B150" s="1" t="s">
        <v>797</v>
      </c>
      <c r="D150" s="1" t="s">
        <v>78</v>
      </c>
      <c r="E150" s="1" t="s">
        <v>35</v>
      </c>
      <c r="F150" s="1" t="s">
        <v>79</v>
      </c>
      <c r="Q150" s="2" t="s">
        <v>798</v>
      </c>
      <c r="S150" s="2" t="s">
        <v>799</v>
      </c>
      <c r="T150" s="2" t="s">
        <v>799</v>
      </c>
      <c r="V150" s="1" t="s">
        <v>800</v>
      </c>
      <c r="X150" s="1" t="s">
        <v>752</v>
      </c>
      <c r="Y150" s="1" t="s">
        <v>801</v>
      </c>
      <c r="AB150" s="1" t="s">
        <v>178</v>
      </c>
      <c r="AC150" s="1" t="s">
        <v>60</v>
      </c>
    </row>
    <row r="151" customFormat="false" ht="13.8" hidden="false" customHeight="false" outlineLevel="0" collapsed="false">
      <c r="A151" s="1" t="s">
        <v>802</v>
      </c>
      <c r="B151" s="1" t="s">
        <v>803</v>
      </c>
      <c r="D151" s="1" t="s">
        <v>78</v>
      </c>
      <c r="E151" s="1" t="s">
        <v>35</v>
      </c>
      <c r="F151" s="1" t="s">
        <v>79</v>
      </c>
      <c r="G151" s="1" t="s">
        <v>477</v>
      </c>
      <c r="H151" s="1" t="s">
        <v>81</v>
      </c>
      <c r="I151" s="1" t="s">
        <v>38</v>
      </c>
      <c r="S151" s="2" t="s">
        <v>804</v>
      </c>
      <c r="T151" s="2" t="s">
        <v>804</v>
      </c>
      <c r="V151" s="1" t="s">
        <v>42</v>
      </c>
      <c r="X151" s="1" t="s">
        <v>752</v>
      </c>
      <c r="Y151" s="1" t="s">
        <v>805</v>
      </c>
      <c r="AB151" s="1" t="s">
        <v>45</v>
      </c>
      <c r="AC151" s="1" t="s">
        <v>45</v>
      </c>
    </row>
    <row r="152" customFormat="false" ht="13.8" hidden="false" customHeight="false" outlineLevel="0" collapsed="false">
      <c r="A152" s="1" t="s">
        <v>806</v>
      </c>
      <c r="B152" s="1" t="s">
        <v>807</v>
      </c>
      <c r="D152" s="1" t="s">
        <v>78</v>
      </c>
      <c r="E152" s="1" t="s">
        <v>35</v>
      </c>
      <c r="F152" s="1" t="s">
        <v>79</v>
      </c>
      <c r="G152" s="1" t="s">
        <v>701</v>
      </c>
      <c r="H152" s="1" t="s">
        <v>521</v>
      </c>
      <c r="I152" s="1" t="s">
        <v>81</v>
      </c>
      <c r="J152" s="1" t="s">
        <v>38</v>
      </c>
      <c r="Q152" s="2" t="s">
        <v>808</v>
      </c>
      <c r="S152" s="2" t="s">
        <v>809</v>
      </c>
      <c r="T152" s="2" t="s">
        <v>809</v>
      </c>
      <c r="V152" s="1" t="s">
        <v>332</v>
      </c>
      <c r="X152" s="1" t="s">
        <v>752</v>
      </c>
      <c r="Y152" s="1" t="s">
        <v>810</v>
      </c>
      <c r="AB152" s="1" t="s">
        <v>45</v>
      </c>
      <c r="AC152" s="1" t="s">
        <v>45</v>
      </c>
    </row>
    <row r="153" customFormat="false" ht="13.8" hidden="false" customHeight="false" outlineLevel="0" collapsed="false">
      <c r="A153" s="1" t="s">
        <v>811</v>
      </c>
      <c r="B153" s="1" t="s">
        <v>812</v>
      </c>
      <c r="D153" s="1" t="s">
        <v>78</v>
      </c>
      <c r="E153" s="1" t="s">
        <v>35</v>
      </c>
      <c r="F153" s="1" t="s">
        <v>79</v>
      </c>
      <c r="G153" s="1" t="s">
        <v>813</v>
      </c>
      <c r="H153" s="1" t="s">
        <v>38</v>
      </c>
      <c r="Q153" s="2" t="s">
        <v>814</v>
      </c>
      <c r="S153" s="2" t="s">
        <v>815</v>
      </c>
      <c r="T153" s="2" t="s">
        <v>816</v>
      </c>
      <c r="V153" s="1" t="s">
        <v>283</v>
      </c>
      <c r="X153" s="1" t="s">
        <v>752</v>
      </c>
      <c r="Y153" s="1" t="s">
        <v>817</v>
      </c>
      <c r="AB153" s="1" t="s">
        <v>45</v>
      </c>
      <c r="AC153" s="1" t="s">
        <v>45</v>
      </c>
    </row>
    <row r="154" customFormat="false" ht="13.8" hidden="false" customHeight="false" outlineLevel="0" collapsed="false">
      <c r="A154" s="1" t="s">
        <v>818</v>
      </c>
      <c r="B154" s="1" t="s">
        <v>812</v>
      </c>
      <c r="D154" s="1" t="s">
        <v>78</v>
      </c>
      <c r="E154" s="1" t="s">
        <v>35</v>
      </c>
      <c r="F154" s="1" t="s">
        <v>79</v>
      </c>
      <c r="G154" s="1" t="s">
        <v>813</v>
      </c>
      <c r="H154" s="1" t="s">
        <v>38</v>
      </c>
      <c r="Q154" s="2" t="s">
        <v>814</v>
      </c>
      <c r="S154" s="2" t="s">
        <v>815</v>
      </c>
      <c r="T154" s="2" t="s">
        <v>816</v>
      </c>
      <c r="V154" s="1" t="s">
        <v>283</v>
      </c>
      <c r="X154" s="1" t="s">
        <v>752</v>
      </c>
      <c r="Y154" s="1" t="s">
        <v>817</v>
      </c>
      <c r="AB154" s="1" t="s">
        <v>45</v>
      </c>
      <c r="AC154" s="1" t="s">
        <v>45</v>
      </c>
    </row>
    <row r="155" customFormat="false" ht="13.8" hidden="false" customHeight="false" outlineLevel="0" collapsed="false">
      <c r="A155" s="1" t="s">
        <v>819</v>
      </c>
      <c r="B155" s="1" t="s">
        <v>820</v>
      </c>
      <c r="D155" s="1" t="s">
        <v>225</v>
      </c>
      <c r="E155" s="1" t="s">
        <v>35</v>
      </c>
      <c r="F155" s="1" t="s">
        <v>701</v>
      </c>
      <c r="G155" s="1" t="s">
        <v>38</v>
      </c>
      <c r="H155" s="1" t="s">
        <v>79</v>
      </c>
      <c r="I155" s="1" t="s">
        <v>66</v>
      </c>
      <c r="M155" s="1" t="s">
        <v>821</v>
      </c>
      <c r="Q155" s="2" t="s">
        <v>626</v>
      </c>
      <c r="S155" s="2" t="s">
        <v>822</v>
      </c>
      <c r="T155" s="2" t="s">
        <v>822</v>
      </c>
      <c r="V155" s="1" t="s">
        <v>48</v>
      </c>
      <c r="X155" s="1" t="s">
        <v>752</v>
      </c>
      <c r="Y155" s="1" t="s">
        <v>823</v>
      </c>
      <c r="AB155" s="1" t="s">
        <v>45</v>
      </c>
      <c r="AC155" s="1" t="s">
        <v>45</v>
      </c>
      <c r="AG155" s="0" t="n">
        <v>1</v>
      </c>
    </row>
    <row r="156" customFormat="false" ht="13.8" hidden="false" customHeight="false" outlineLevel="0" collapsed="false">
      <c r="A156" s="1" t="s">
        <v>824</v>
      </c>
      <c r="B156" s="1" t="s">
        <v>825</v>
      </c>
      <c r="D156" s="1" t="s">
        <v>225</v>
      </c>
      <c r="E156" s="1" t="s">
        <v>35</v>
      </c>
      <c r="F156" s="1" t="s">
        <v>701</v>
      </c>
      <c r="G156" s="1" t="s">
        <v>38</v>
      </c>
      <c r="H156" s="1" t="s">
        <v>64</v>
      </c>
      <c r="I156" s="1" t="s">
        <v>79</v>
      </c>
      <c r="J156" s="1" t="s">
        <v>66</v>
      </c>
      <c r="T156" s="2" t="s">
        <v>826</v>
      </c>
      <c r="V156" s="1" t="s">
        <v>42</v>
      </c>
      <c r="X156" s="1" t="s">
        <v>752</v>
      </c>
      <c r="Y156" s="1" t="s">
        <v>787</v>
      </c>
      <c r="AB156" s="1" t="s">
        <v>45</v>
      </c>
      <c r="AC156" s="1" t="s">
        <v>45</v>
      </c>
      <c r="AG156" s="0" t="n">
        <v>1</v>
      </c>
    </row>
    <row r="157" customFormat="false" ht="13.8" hidden="false" customHeight="false" outlineLevel="0" collapsed="false">
      <c r="A157" s="1" t="s">
        <v>827</v>
      </c>
      <c r="B157" s="1" t="s">
        <v>828</v>
      </c>
      <c r="D157" s="1" t="s">
        <v>225</v>
      </c>
      <c r="E157" s="1" t="s">
        <v>35</v>
      </c>
      <c r="F157" s="1" t="s">
        <v>701</v>
      </c>
      <c r="G157" s="1" t="s">
        <v>38</v>
      </c>
      <c r="H157" s="1" t="s">
        <v>64</v>
      </c>
      <c r="I157" s="1" t="s">
        <v>79</v>
      </c>
      <c r="J157" s="1" t="s">
        <v>66</v>
      </c>
      <c r="T157" s="2" t="s">
        <v>826</v>
      </c>
      <c r="V157" s="1" t="s">
        <v>42</v>
      </c>
      <c r="X157" s="1" t="s">
        <v>752</v>
      </c>
      <c r="Y157" s="1" t="s">
        <v>787</v>
      </c>
      <c r="AG157" s="0" t="n">
        <v>1</v>
      </c>
    </row>
    <row r="158" customFormat="false" ht="13.8" hidden="false" customHeight="false" outlineLevel="0" collapsed="false">
      <c r="A158" s="1" t="s">
        <v>829</v>
      </c>
      <c r="B158" s="1" t="s">
        <v>830</v>
      </c>
      <c r="D158" s="1" t="s">
        <v>78</v>
      </c>
      <c r="E158" s="1" t="s">
        <v>701</v>
      </c>
      <c r="F158" s="1" t="s">
        <v>79</v>
      </c>
      <c r="G158" s="1" t="s">
        <v>35</v>
      </c>
      <c r="H158" s="1" t="s">
        <v>38</v>
      </c>
      <c r="I158" s="1" t="s">
        <v>81</v>
      </c>
      <c r="Q158" s="1" t="s">
        <v>45</v>
      </c>
      <c r="T158" s="2" t="s">
        <v>831</v>
      </c>
      <c r="V158" s="1" t="s">
        <v>800</v>
      </c>
      <c r="X158" s="1" t="s">
        <v>752</v>
      </c>
      <c r="Y158" s="1" t="s">
        <v>832</v>
      </c>
      <c r="AB158" s="1" t="s">
        <v>45</v>
      </c>
      <c r="AC158" s="1" t="s">
        <v>45</v>
      </c>
      <c r="AG158" s="0" t="n">
        <v>1</v>
      </c>
    </row>
    <row r="159" customFormat="false" ht="13.8" hidden="false" customHeight="false" outlineLevel="0" collapsed="false">
      <c r="A159" s="1" t="s">
        <v>833</v>
      </c>
      <c r="B159" s="1" t="s">
        <v>834</v>
      </c>
      <c r="D159" s="1" t="s">
        <v>225</v>
      </c>
      <c r="E159" s="1" t="s">
        <v>701</v>
      </c>
      <c r="F159" s="1" t="s">
        <v>101</v>
      </c>
      <c r="G159" s="1" t="s">
        <v>66</v>
      </c>
      <c r="H159" s="1" t="s">
        <v>35</v>
      </c>
      <c r="Q159" s="1" t="s">
        <v>45</v>
      </c>
      <c r="T159" s="2" t="s">
        <v>835</v>
      </c>
      <c r="V159" s="1" t="s">
        <v>332</v>
      </c>
      <c r="X159" s="1" t="s">
        <v>752</v>
      </c>
      <c r="Y159" s="1" t="s">
        <v>787</v>
      </c>
      <c r="AB159" s="1" t="s">
        <v>45</v>
      </c>
      <c r="AC159" s="1" t="s">
        <v>45</v>
      </c>
      <c r="AG159" s="0" t="n">
        <v>1</v>
      </c>
    </row>
    <row r="160" customFormat="false" ht="13.8" hidden="false" customHeight="false" outlineLevel="0" collapsed="false">
      <c r="A160" s="1" t="s">
        <v>836</v>
      </c>
      <c r="B160" s="1" t="s">
        <v>837</v>
      </c>
      <c r="D160" s="1" t="s">
        <v>225</v>
      </c>
      <c r="E160" s="1" t="s">
        <v>701</v>
      </c>
      <c r="F160" s="1" t="s">
        <v>101</v>
      </c>
      <c r="G160" s="1" t="s">
        <v>66</v>
      </c>
      <c r="H160" s="1" t="s">
        <v>35</v>
      </c>
      <c r="Q160" s="1" t="s">
        <v>45</v>
      </c>
      <c r="T160" s="2" t="s">
        <v>159</v>
      </c>
      <c r="V160" s="1" t="s">
        <v>332</v>
      </c>
      <c r="X160" s="1" t="s">
        <v>752</v>
      </c>
      <c r="Y160" s="1" t="s">
        <v>787</v>
      </c>
      <c r="AB160" s="1" t="s">
        <v>45</v>
      </c>
      <c r="AC160" s="1" t="s">
        <v>45</v>
      </c>
      <c r="AG160" s="0" t="n">
        <v>1</v>
      </c>
    </row>
    <row r="161" customFormat="false" ht="13.8" hidden="false" customHeight="false" outlineLevel="0" collapsed="false">
      <c r="A161" s="1" t="s">
        <v>838</v>
      </c>
      <c r="B161" s="1" t="s">
        <v>839</v>
      </c>
      <c r="D161" s="1" t="s">
        <v>225</v>
      </c>
      <c r="T161" s="2" t="s">
        <v>840</v>
      </c>
      <c r="V161" s="1" t="s">
        <v>429</v>
      </c>
      <c r="X161" s="1" t="s">
        <v>752</v>
      </c>
      <c r="Y161" s="1" t="s">
        <v>841</v>
      </c>
      <c r="AG161" s="0" t="n">
        <v>1</v>
      </c>
    </row>
    <row r="162" customFormat="false" ht="13.8" hidden="false" customHeight="false" outlineLevel="0" collapsed="false">
      <c r="A162" s="1" t="s">
        <v>842</v>
      </c>
      <c r="B162" s="1" t="s">
        <v>843</v>
      </c>
      <c r="D162" s="1" t="s">
        <v>78</v>
      </c>
      <c r="T162" s="2" t="s">
        <v>844</v>
      </c>
      <c r="V162" s="1" t="s">
        <v>48</v>
      </c>
      <c r="X162" s="1" t="s">
        <v>752</v>
      </c>
      <c r="Y162" s="1" t="s">
        <v>823</v>
      </c>
      <c r="AG162" s="0" t="n">
        <v>1</v>
      </c>
    </row>
    <row r="163" customFormat="false" ht="13.8" hidden="false" customHeight="false" outlineLevel="0" collapsed="false">
      <c r="A163" s="1" t="s">
        <v>845</v>
      </c>
      <c r="B163" s="1" t="s">
        <v>846</v>
      </c>
      <c r="D163" s="1" t="s">
        <v>225</v>
      </c>
      <c r="T163" s="2" t="s">
        <v>847</v>
      </c>
      <c r="V163" s="1" t="s">
        <v>261</v>
      </c>
      <c r="X163" s="1" t="s">
        <v>752</v>
      </c>
      <c r="Y163" s="1" t="s">
        <v>848</v>
      </c>
    </row>
    <row r="164" customFormat="false" ht="13.8" hidden="false" customHeight="false" outlineLevel="0" collapsed="false">
      <c r="A164" s="1" t="s">
        <v>849</v>
      </c>
      <c r="B164" s="1" t="s">
        <v>850</v>
      </c>
      <c r="D164" s="1" t="s">
        <v>78</v>
      </c>
      <c r="T164" s="2" t="s">
        <v>851</v>
      </c>
      <c r="V164" s="1" t="s">
        <v>42</v>
      </c>
      <c r="X164" s="1" t="s">
        <v>752</v>
      </c>
      <c r="Y164" s="1" t="s">
        <v>852</v>
      </c>
    </row>
    <row r="165" customFormat="false" ht="13.8" hidden="false" customHeight="false" outlineLevel="0" collapsed="false">
      <c r="A165" s="1" t="s">
        <v>853</v>
      </c>
      <c r="B165" s="1" t="s">
        <v>854</v>
      </c>
      <c r="D165" s="1" t="s">
        <v>377</v>
      </c>
      <c r="T165" s="2" t="s">
        <v>253</v>
      </c>
      <c r="V165" s="1" t="s">
        <v>855</v>
      </c>
      <c r="X165" s="1" t="s">
        <v>752</v>
      </c>
      <c r="Y165" s="1" t="s">
        <v>856</v>
      </c>
    </row>
    <row r="166" customFormat="false" ht="13.8" hidden="false" customHeight="false" outlineLevel="0" collapsed="false">
      <c r="A166" s="1" t="s">
        <v>857</v>
      </c>
      <c r="B166" s="1" t="s">
        <v>858</v>
      </c>
      <c r="D166" s="1" t="s">
        <v>859</v>
      </c>
      <c r="T166" s="2" t="s">
        <v>860</v>
      </c>
      <c r="V166" s="1" t="s">
        <v>861</v>
      </c>
      <c r="X166" s="1" t="s">
        <v>752</v>
      </c>
      <c r="Y166" s="1" t="s">
        <v>862</v>
      </c>
    </row>
    <row r="167" customFormat="false" ht="13.8" hidden="false" customHeight="false" outlineLevel="0" collapsed="false">
      <c r="A167" s="1" t="s">
        <v>863</v>
      </c>
      <c r="B167" s="1" t="s">
        <v>864</v>
      </c>
      <c r="D167" s="1" t="s">
        <v>78</v>
      </c>
      <c r="T167" s="2" t="s">
        <v>865</v>
      </c>
      <c r="V167" s="1" t="s">
        <v>283</v>
      </c>
      <c r="X167" s="1" t="s">
        <v>752</v>
      </c>
      <c r="Y167" s="1" t="s">
        <v>866</v>
      </c>
    </row>
    <row r="168" customFormat="false" ht="13.8" hidden="false" customHeight="false" outlineLevel="0" collapsed="false">
      <c r="A168" s="1" t="s">
        <v>867</v>
      </c>
      <c r="B168" s="1" t="s">
        <v>868</v>
      </c>
      <c r="D168" s="1" t="s">
        <v>78</v>
      </c>
      <c r="M168" s="1" t="s">
        <v>869</v>
      </c>
      <c r="T168" s="2" t="s">
        <v>870</v>
      </c>
      <c r="V168" s="1" t="s">
        <v>454</v>
      </c>
      <c r="X168" s="1" t="s">
        <v>752</v>
      </c>
      <c r="Y168" s="1" t="s">
        <v>841</v>
      </c>
    </row>
    <row r="169" customFormat="false" ht="13.8" hidden="false" customHeight="false" outlineLevel="0" collapsed="false">
      <c r="A169" s="1" t="s">
        <v>871</v>
      </c>
      <c r="B169" s="1" t="s">
        <v>872</v>
      </c>
      <c r="D169" s="1" t="s">
        <v>78</v>
      </c>
      <c r="T169" s="2" t="s">
        <v>873</v>
      </c>
      <c r="V169" s="1" t="s">
        <v>140</v>
      </c>
      <c r="X169" s="1" t="s">
        <v>752</v>
      </c>
      <c r="Y169" s="1" t="s">
        <v>729</v>
      </c>
    </row>
    <row r="170" customFormat="false" ht="13.8" hidden="false" customHeight="false" outlineLevel="0" collapsed="false">
      <c r="A170" s="1" t="s">
        <v>874</v>
      </c>
      <c r="B170" s="1" t="s">
        <v>875</v>
      </c>
      <c r="D170" s="1" t="s">
        <v>78</v>
      </c>
      <c r="T170" s="2" t="s">
        <v>876</v>
      </c>
      <c r="V170" s="1" t="s">
        <v>48</v>
      </c>
      <c r="X170" s="1" t="s">
        <v>752</v>
      </c>
      <c r="Y170" s="1" t="s">
        <v>877</v>
      </c>
    </row>
    <row r="171" customFormat="false" ht="13.8" hidden="false" customHeight="false" outlineLevel="0" collapsed="false">
      <c r="A171" s="1" t="s">
        <v>878</v>
      </c>
      <c r="B171" s="1" t="s">
        <v>879</v>
      </c>
      <c r="D171" s="1" t="s">
        <v>78</v>
      </c>
      <c r="E171" s="1" t="s">
        <v>38</v>
      </c>
      <c r="F171" s="1" t="s">
        <v>79</v>
      </c>
      <c r="G171" s="1" t="s">
        <v>35</v>
      </c>
      <c r="H171" s="1" t="s">
        <v>80</v>
      </c>
      <c r="I171" s="1" t="s">
        <v>701</v>
      </c>
      <c r="T171" s="2" t="s">
        <v>880</v>
      </c>
      <c r="V171" s="1" t="s">
        <v>140</v>
      </c>
      <c r="X171" s="1" t="s">
        <v>752</v>
      </c>
      <c r="Y171" s="1" t="s">
        <v>881</v>
      </c>
    </row>
    <row r="172" customFormat="false" ht="13.8" hidden="false" customHeight="false" outlineLevel="0" collapsed="false">
      <c r="A172" s="1" t="s">
        <v>882</v>
      </c>
      <c r="B172" s="1" t="s">
        <v>883</v>
      </c>
      <c r="D172" s="1" t="s">
        <v>78</v>
      </c>
      <c r="E172" s="1" t="s">
        <v>701</v>
      </c>
      <c r="F172" s="1" t="s">
        <v>79</v>
      </c>
      <c r="G172" s="1" t="s">
        <v>38</v>
      </c>
      <c r="H172" s="1" t="s">
        <v>66</v>
      </c>
      <c r="I172" s="1" t="s">
        <v>35</v>
      </c>
      <c r="T172" s="2" t="s">
        <v>213</v>
      </c>
      <c r="V172" s="1" t="s">
        <v>772</v>
      </c>
      <c r="X172" s="1" t="s">
        <v>752</v>
      </c>
      <c r="Y172" s="1" t="s">
        <v>773</v>
      </c>
    </row>
    <row r="173" customFormat="false" ht="13.8" hidden="false" customHeight="false" outlineLevel="0" collapsed="false">
      <c r="A173" s="1" t="s">
        <v>884</v>
      </c>
      <c r="B173" s="1" t="s">
        <v>885</v>
      </c>
      <c r="D173" s="1" t="s">
        <v>225</v>
      </c>
      <c r="T173" s="2" t="s">
        <v>542</v>
      </c>
      <c r="V173" s="1" t="s">
        <v>886</v>
      </c>
      <c r="X173" s="1" t="s">
        <v>752</v>
      </c>
      <c r="Y173" s="1" t="s">
        <v>787</v>
      </c>
    </row>
    <row r="174" customFormat="false" ht="13.8" hidden="false" customHeight="false" outlineLevel="0" collapsed="false">
      <c r="A174" s="1" t="s">
        <v>887</v>
      </c>
      <c r="B174" s="1" t="s">
        <v>888</v>
      </c>
      <c r="D174" s="1" t="s">
        <v>377</v>
      </c>
      <c r="E174" s="1" t="s">
        <v>378</v>
      </c>
      <c r="F174" s="1" t="s">
        <v>361</v>
      </c>
      <c r="G174" s="1" t="s">
        <v>716</v>
      </c>
      <c r="H174" s="1" t="s">
        <v>889</v>
      </c>
      <c r="T174" s="2" t="s">
        <v>890</v>
      </c>
      <c r="V174" s="1" t="s">
        <v>891</v>
      </c>
      <c r="X174" s="1" t="s">
        <v>752</v>
      </c>
      <c r="Y174" s="1" t="s">
        <v>892</v>
      </c>
    </row>
    <row r="175" customFormat="false" ht="13.8" hidden="false" customHeight="false" outlineLevel="0" collapsed="false">
      <c r="A175" s="1" t="s">
        <v>893</v>
      </c>
      <c r="B175" s="1" t="s">
        <v>894</v>
      </c>
      <c r="D175" s="1" t="s">
        <v>895</v>
      </c>
      <c r="E175" s="1" t="s">
        <v>79</v>
      </c>
      <c r="F175" s="1" t="s">
        <v>212</v>
      </c>
      <c r="G175" s="1" t="s">
        <v>38</v>
      </c>
      <c r="H175" s="1" t="s">
        <v>80</v>
      </c>
      <c r="M175" s="1" t="s">
        <v>896</v>
      </c>
      <c r="N175" s="1" t="s">
        <v>897</v>
      </c>
      <c r="O175" s="1" t="s">
        <v>898</v>
      </c>
      <c r="Q175" s="2" t="s">
        <v>899</v>
      </c>
      <c r="S175" s="2" t="s">
        <v>493</v>
      </c>
      <c r="T175" s="2" t="s">
        <v>493</v>
      </c>
      <c r="V175" s="1" t="s">
        <v>45</v>
      </c>
      <c r="X175" s="1" t="s">
        <v>900</v>
      </c>
      <c r="Y175" s="1" t="s">
        <v>901</v>
      </c>
      <c r="AB175" s="1" t="s">
        <v>59</v>
      </c>
      <c r="AC175" s="1" t="s">
        <v>60</v>
      </c>
    </row>
    <row r="176" customFormat="false" ht="13.8" hidden="false" customHeight="false" outlineLevel="0" collapsed="false">
      <c r="A176" s="1" t="s">
        <v>902</v>
      </c>
      <c r="B176" s="1" t="s">
        <v>903</v>
      </c>
      <c r="C176" s="1" t="s">
        <v>904</v>
      </c>
      <c r="D176" s="1" t="s">
        <v>895</v>
      </c>
      <c r="E176" s="1" t="s">
        <v>905</v>
      </c>
      <c r="F176" s="1" t="s">
        <v>79</v>
      </c>
      <c r="G176" s="1" t="s">
        <v>36</v>
      </c>
      <c r="H176" s="1" t="s">
        <v>38</v>
      </c>
      <c r="Q176" s="2" t="s">
        <v>906</v>
      </c>
      <c r="S176" s="2" t="s">
        <v>907</v>
      </c>
      <c r="T176" s="2" t="s">
        <v>907</v>
      </c>
      <c r="V176" s="1" t="s">
        <v>45</v>
      </c>
      <c r="X176" s="1" t="s">
        <v>900</v>
      </c>
      <c r="Y176" s="1" t="s">
        <v>908</v>
      </c>
      <c r="AB176" s="1" t="s">
        <v>59</v>
      </c>
      <c r="AC176" s="1" t="s">
        <v>60</v>
      </c>
    </row>
    <row r="177" customFormat="false" ht="13.8" hidden="false" customHeight="false" outlineLevel="0" collapsed="false">
      <c r="A177" s="1" t="s">
        <v>909</v>
      </c>
      <c r="B177" s="1" t="s">
        <v>910</v>
      </c>
      <c r="C177" s="1" t="s">
        <v>45</v>
      </c>
      <c r="D177" s="1" t="s">
        <v>78</v>
      </c>
      <c r="E177" s="1" t="s">
        <v>79</v>
      </c>
      <c r="F177" s="1" t="s">
        <v>36</v>
      </c>
      <c r="G177" s="1" t="s">
        <v>35</v>
      </c>
      <c r="H177" s="1" t="s">
        <v>911</v>
      </c>
      <c r="I177" s="1" t="s">
        <v>912</v>
      </c>
      <c r="J177" s="1" t="s">
        <v>38</v>
      </c>
      <c r="Q177" s="2" t="s">
        <v>913</v>
      </c>
      <c r="S177" s="2" t="s">
        <v>512</v>
      </c>
      <c r="T177" s="2" t="s">
        <v>512</v>
      </c>
      <c r="V177" s="1" t="s">
        <v>563</v>
      </c>
      <c r="X177" s="1" t="s">
        <v>900</v>
      </c>
      <c r="Y177" s="1" t="s">
        <v>914</v>
      </c>
      <c r="AB177" s="1" t="s">
        <v>45</v>
      </c>
      <c r="AC177" s="1" t="s">
        <v>45</v>
      </c>
    </row>
    <row r="178" customFormat="false" ht="13.8" hidden="false" customHeight="false" outlineLevel="0" collapsed="false">
      <c r="A178" s="1" t="s">
        <v>915</v>
      </c>
      <c r="B178" s="1" t="s">
        <v>916</v>
      </c>
      <c r="D178" s="1" t="s">
        <v>78</v>
      </c>
      <c r="E178" s="1" t="s">
        <v>79</v>
      </c>
      <c r="F178" s="1" t="s">
        <v>35</v>
      </c>
      <c r="G178" s="1" t="s">
        <v>81</v>
      </c>
      <c r="H178" s="1" t="s">
        <v>38</v>
      </c>
      <c r="Q178" s="2" t="s">
        <v>917</v>
      </c>
      <c r="S178" s="1" t="s">
        <v>45</v>
      </c>
      <c r="T178" s="2" t="s">
        <v>918</v>
      </c>
      <c r="V178" s="1" t="s">
        <v>45</v>
      </c>
      <c r="X178" s="1" t="s">
        <v>900</v>
      </c>
      <c r="AB178" s="1" t="s">
        <v>513</v>
      </c>
      <c r="AC178" s="1" t="s">
        <v>60</v>
      </c>
    </row>
    <row r="179" customFormat="false" ht="13.8" hidden="false" customHeight="false" outlineLevel="0" collapsed="false">
      <c r="A179" s="1" t="s">
        <v>919</v>
      </c>
      <c r="B179" s="1" t="s">
        <v>920</v>
      </c>
      <c r="D179" s="1" t="s">
        <v>78</v>
      </c>
      <c r="E179" s="1" t="s">
        <v>79</v>
      </c>
      <c r="F179" s="1" t="s">
        <v>921</v>
      </c>
      <c r="G179" s="1" t="s">
        <v>922</v>
      </c>
      <c r="H179" s="1" t="s">
        <v>923</v>
      </c>
      <c r="M179" s="1" t="s">
        <v>924</v>
      </c>
      <c r="N179" s="1" t="s">
        <v>925</v>
      </c>
      <c r="Q179" s="2" t="s">
        <v>926</v>
      </c>
      <c r="S179" s="1" t="s">
        <v>45</v>
      </c>
      <c r="T179" s="2" t="s">
        <v>927</v>
      </c>
      <c r="V179" s="1" t="s">
        <v>208</v>
      </c>
      <c r="X179" s="1" t="s">
        <v>900</v>
      </c>
      <c r="Y179" s="1" t="s">
        <v>928</v>
      </c>
      <c r="AB179" s="1" t="s">
        <v>513</v>
      </c>
      <c r="AC179" s="1" t="s">
        <v>60</v>
      </c>
    </row>
    <row r="180" customFormat="false" ht="13.8" hidden="false" customHeight="false" outlineLevel="0" collapsed="false">
      <c r="A180" s="1" t="s">
        <v>929</v>
      </c>
      <c r="B180" s="1" t="s">
        <v>930</v>
      </c>
      <c r="D180" s="1" t="s">
        <v>51</v>
      </c>
      <c r="E180" s="1" t="s">
        <v>701</v>
      </c>
      <c r="F180" s="1" t="s">
        <v>52</v>
      </c>
      <c r="G180" s="1" t="s">
        <v>905</v>
      </c>
      <c r="H180" s="1" t="s">
        <v>38</v>
      </c>
      <c r="T180" s="2" t="s">
        <v>931</v>
      </c>
      <c r="V180" s="1" t="s">
        <v>48</v>
      </c>
      <c r="X180" s="1" t="s">
        <v>900</v>
      </c>
      <c r="Y180" s="1" t="s">
        <v>932</v>
      </c>
      <c r="AB180" s="1" t="s">
        <v>59</v>
      </c>
      <c r="AC180" s="1" t="s">
        <v>142</v>
      </c>
    </row>
    <row r="181" customFormat="false" ht="13.8" hidden="false" customHeight="false" outlineLevel="0" collapsed="false">
      <c r="A181" s="1" t="s">
        <v>933</v>
      </c>
      <c r="B181" s="1" t="s">
        <v>934</v>
      </c>
      <c r="D181" s="1" t="s">
        <v>78</v>
      </c>
      <c r="Q181" s="1" t="s">
        <v>45</v>
      </c>
      <c r="T181" s="2" t="s">
        <v>935</v>
      </c>
      <c r="V181" s="1" t="s">
        <v>164</v>
      </c>
      <c r="X181" s="1" t="s">
        <v>900</v>
      </c>
      <c r="Y181" s="1" t="s">
        <v>729</v>
      </c>
      <c r="AB181" s="1" t="s">
        <v>45</v>
      </c>
      <c r="AC181" s="1" t="s">
        <v>45</v>
      </c>
    </row>
    <row r="182" customFormat="false" ht="13.8" hidden="false" customHeight="false" outlineLevel="0" collapsed="false">
      <c r="A182" s="1" t="s">
        <v>936</v>
      </c>
      <c r="B182" s="1" t="s">
        <v>937</v>
      </c>
      <c r="D182" s="1" t="s">
        <v>78</v>
      </c>
      <c r="T182" s="2" t="s">
        <v>938</v>
      </c>
      <c r="V182" s="1" t="s">
        <v>48</v>
      </c>
      <c r="X182" s="1" t="s">
        <v>841</v>
      </c>
      <c r="Y182" s="1" t="s">
        <v>841</v>
      </c>
    </row>
    <row r="183" customFormat="false" ht="13.8" hidden="false" customHeight="false" outlineLevel="0" collapsed="false">
      <c r="A183" s="1" t="s">
        <v>939</v>
      </c>
      <c r="B183" s="1" t="s">
        <v>940</v>
      </c>
      <c r="D183" s="1" t="s">
        <v>783</v>
      </c>
      <c r="T183" s="2" t="s">
        <v>941</v>
      </c>
      <c r="V183" s="1" t="s">
        <v>164</v>
      </c>
      <c r="X183" s="1" t="s">
        <v>942</v>
      </c>
      <c r="Y183" s="1" t="s">
        <v>97</v>
      </c>
    </row>
    <row r="184" customFormat="false" ht="13.8" hidden="false" customHeight="false" outlineLevel="0" collapsed="false">
      <c r="A184" s="1" t="s">
        <v>943</v>
      </c>
      <c r="B184" s="1" t="s">
        <v>944</v>
      </c>
      <c r="D184" s="1" t="s">
        <v>783</v>
      </c>
      <c r="E184" s="1" t="s">
        <v>101</v>
      </c>
      <c r="F184" s="1" t="s">
        <v>716</v>
      </c>
      <c r="G184" s="1" t="s">
        <v>945</v>
      </c>
      <c r="Q184" s="2" t="s">
        <v>946</v>
      </c>
      <c r="S184" s="2" t="s">
        <v>947</v>
      </c>
      <c r="T184" s="2" t="s">
        <v>947</v>
      </c>
      <c r="V184" s="1" t="s">
        <v>948</v>
      </c>
      <c r="X184" s="1" t="s">
        <v>949</v>
      </c>
      <c r="Y184" s="1" t="s">
        <v>950</v>
      </c>
      <c r="AB184" s="1" t="s">
        <v>45</v>
      </c>
      <c r="AC184" s="1" t="s">
        <v>45</v>
      </c>
      <c r="AG184" s="0" t="n">
        <v>1</v>
      </c>
    </row>
    <row r="185" customFormat="false" ht="13.8" hidden="false" customHeight="false" outlineLevel="0" collapsed="false">
      <c r="A185" s="1" t="s">
        <v>951</v>
      </c>
      <c r="B185" s="1" t="s">
        <v>952</v>
      </c>
      <c r="D185" s="1" t="s">
        <v>953</v>
      </c>
      <c r="T185" s="2" t="s">
        <v>954</v>
      </c>
      <c r="V185" s="1" t="s">
        <v>172</v>
      </c>
      <c r="X185" s="1" t="s">
        <v>949</v>
      </c>
      <c r="Y185" s="1" t="s">
        <v>949</v>
      </c>
      <c r="AG185" s="0" t="n">
        <v>1</v>
      </c>
    </row>
    <row r="186" customFormat="false" ht="13.8" hidden="false" customHeight="false" outlineLevel="0" collapsed="false">
      <c r="A186" s="1" t="s">
        <v>955</v>
      </c>
      <c r="B186" s="1" t="s">
        <v>956</v>
      </c>
      <c r="D186" s="1" t="s">
        <v>225</v>
      </c>
      <c r="T186" s="2" t="s">
        <v>957</v>
      </c>
      <c r="V186" s="1" t="s">
        <v>172</v>
      </c>
      <c r="X186" s="1" t="s">
        <v>949</v>
      </c>
      <c r="Y186" s="1" t="s">
        <v>949</v>
      </c>
      <c r="AG186" s="0" t="n">
        <v>1</v>
      </c>
    </row>
    <row r="187" customFormat="false" ht="13.8" hidden="false" customHeight="false" outlineLevel="0" collapsed="false">
      <c r="A187" s="1" t="s">
        <v>958</v>
      </c>
      <c r="B187" s="1" t="s">
        <v>959</v>
      </c>
      <c r="D187" s="1" t="s">
        <v>960</v>
      </c>
      <c r="T187" s="2" t="s">
        <v>961</v>
      </c>
      <c r="V187" s="1" t="s">
        <v>962</v>
      </c>
      <c r="X187" s="1" t="s">
        <v>949</v>
      </c>
      <c r="Y187" s="1" t="s">
        <v>949</v>
      </c>
      <c r="AG187" s="0" t="n">
        <v>1</v>
      </c>
    </row>
    <row r="188" customFormat="false" ht="13.8" hidden="false" customHeight="false" outlineLevel="0" collapsed="false">
      <c r="A188" s="1" t="s">
        <v>963</v>
      </c>
      <c r="B188" s="1" t="s">
        <v>964</v>
      </c>
      <c r="D188" s="1" t="s">
        <v>965</v>
      </c>
      <c r="T188" s="2" t="s">
        <v>966</v>
      </c>
      <c r="V188" s="1" t="s">
        <v>962</v>
      </c>
      <c r="X188" s="1" t="s">
        <v>949</v>
      </c>
      <c r="Y188" s="1" t="s">
        <v>949</v>
      </c>
    </row>
    <row r="189" customFormat="false" ht="13.8" hidden="false" customHeight="false" outlineLevel="0" collapsed="false">
      <c r="A189" s="1" t="s">
        <v>967</v>
      </c>
      <c r="B189" s="1" t="s">
        <v>968</v>
      </c>
      <c r="D189" s="1" t="s">
        <v>225</v>
      </c>
      <c r="T189" s="2" t="s">
        <v>969</v>
      </c>
      <c r="V189" s="1" t="s">
        <v>962</v>
      </c>
      <c r="X189" s="1" t="s">
        <v>949</v>
      </c>
      <c r="Y189" s="1" t="s">
        <v>949</v>
      </c>
    </row>
    <row r="190" customFormat="false" ht="13.8" hidden="false" customHeight="false" outlineLevel="0" collapsed="false">
      <c r="A190" s="1" t="s">
        <v>970</v>
      </c>
      <c r="B190" s="1" t="s">
        <v>971</v>
      </c>
      <c r="D190" s="1" t="s">
        <v>78</v>
      </c>
      <c r="E190" s="1" t="s">
        <v>79</v>
      </c>
      <c r="F190" s="1" t="s">
        <v>38</v>
      </c>
      <c r="G190" s="1" t="s">
        <v>35</v>
      </c>
      <c r="M190" s="1" t="s">
        <v>972</v>
      </c>
      <c r="Q190" s="1" t="s">
        <v>45</v>
      </c>
      <c r="S190" s="2" t="s">
        <v>750</v>
      </c>
      <c r="T190" s="2" t="s">
        <v>750</v>
      </c>
      <c r="V190" s="1" t="s">
        <v>48</v>
      </c>
      <c r="X190" s="1" t="s">
        <v>973</v>
      </c>
      <c r="Y190" s="1" t="s">
        <v>974</v>
      </c>
      <c r="AB190" s="1" t="s">
        <v>513</v>
      </c>
      <c r="AC190" s="1" t="s">
        <v>88</v>
      </c>
      <c r="AE190" s="1" t="s">
        <v>45</v>
      </c>
      <c r="AF190" s="1" t="s">
        <v>975</v>
      </c>
    </row>
    <row r="191" customFormat="false" ht="13.8" hidden="false" customHeight="false" outlineLevel="0" collapsed="false">
      <c r="A191" s="1" t="s">
        <v>976</v>
      </c>
      <c r="B191" s="1" t="s">
        <v>977</v>
      </c>
      <c r="D191" s="1" t="s">
        <v>78</v>
      </c>
      <c r="E191" s="1" t="s">
        <v>79</v>
      </c>
      <c r="F191" s="1" t="s">
        <v>80</v>
      </c>
      <c r="G191" s="1" t="s">
        <v>38</v>
      </c>
      <c r="H191" s="1" t="s">
        <v>35</v>
      </c>
      <c r="Q191" s="2" t="s">
        <v>411</v>
      </c>
      <c r="S191" s="2" t="s">
        <v>978</v>
      </c>
      <c r="T191" s="2" t="s">
        <v>978</v>
      </c>
      <c r="V191" s="1" t="s">
        <v>443</v>
      </c>
      <c r="X191" s="1" t="s">
        <v>973</v>
      </c>
      <c r="Y191" s="1" t="s">
        <v>97</v>
      </c>
      <c r="AB191" s="1" t="s">
        <v>979</v>
      </c>
      <c r="AC191" s="1" t="s">
        <v>60</v>
      </c>
    </row>
    <row r="192" customFormat="false" ht="13.8" hidden="false" customHeight="false" outlineLevel="0" collapsed="false">
      <c r="A192" s="1" t="s">
        <v>980</v>
      </c>
      <c r="B192" s="1" t="s">
        <v>981</v>
      </c>
      <c r="D192" s="1" t="s">
        <v>783</v>
      </c>
      <c r="E192" s="1" t="s">
        <v>101</v>
      </c>
      <c r="F192" s="1" t="s">
        <v>716</v>
      </c>
      <c r="G192" s="1" t="s">
        <v>361</v>
      </c>
      <c r="Q192" s="2" t="s">
        <v>503</v>
      </c>
      <c r="S192" s="2" t="s">
        <v>982</v>
      </c>
      <c r="T192" s="2" t="s">
        <v>982</v>
      </c>
      <c r="V192" s="1" t="s">
        <v>48</v>
      </c>
      <c r="X192" s="1" t="s">
        <v>983</v>
      </c>
      <c r="Y192" s="1" t="s">
        <v>45</v>
      </c>
      <c r="AB192" s="1" t="s">
        <v>45</v>
      </c>
      <c r="AC192" s="1" t="s">
        <v>45</v>
      </c>
    </row>
    <row r="193" customFormat="false" ht="13.8" hidden="false" customHeight="false" outlineLevel="0" collapsed="false">
      <c r="A193" s="1" t="s">
        <v>984</v>
      </c>
      <c r="B193" s="1" t="s">
        <v>985</v>
      </c>
      <c r="D193" s="1" t="s">
        <v>783</v>
      </c>
      <c r="E193" s="1" t="s">
        <v>101</v>
      </c>
      <c r="F193" s="1" t="s">
        <v>716</v>
      </c>
      <c r="Q193" s="2" t="s">
        <v>946</v>
      </c>
      <c r="S193" s="2" t="s">
        <v>986</v>
      </c>
      <c r="T193" s="2" t="s">
        <v>986</v>
      </c>
      <c r="V193" s="1" t="s">
        <v>535</v>
      </c>
      <c r="X193" s="1" t="s">
        <v>983</v>
      </c>
      <c r="Y193" s="1" t="s">
        <v>45</v>
      </c>
      <c r="AB193" s="1" t="s">
        <v>45</v>
      </c>
      <c r="AC193" s="1" t="s">
        <v>45</v>
      </c>
    </row>
    <row r="194" customFormat="false" ht="13.8" hidden="false" customHeight="false" outlineLevel="0" collapsed="false">
      <c r="A194" s="1" t="s">
        <v>987</v>
      </c>
      <c r="B194" s="1" t="s">
        <v>988</v>
      </c>
      <c r="D194" s="1" t="s">
        <v>225</v>
      </c>
      <c r="E194" s="1" t="s">
        <v>101</v>
      </c>
      <c r="F194" s="1" t="s">
        <v>38</v>
      </c>
      <c r="G194" s="1" t="s">
        <v>701</v>
      </c>
      <c r="Q194" s="2" t="s">
        <v>989</v>
      </c>
      <c r="T194" s="2" t="s">
        <v>82</v>
      </c>
      <c r="V194" s="1" t="s">
        <v>990</v>
      </c>
      <c r="X194" s="1" t="s">
        <v>983</v>
      </c>
      <c r="Y194" s="1" t="s">
        <v>45</v>
      </c>
    </row>
    <row r="195" customFormat="false" ht="13.8" hidden="false" customHeight="false" outlineLevel="0" collapsed="false">
      <c r="A195" s="1" t="s">
        <v>991</v>
      </c>
      <c r="B195" s="1" t="s">
        <v>992</v>
      </c>
      <c r="D195" s="1" t="s">
        <v>225</v>
      </c>
      <c r="E195" s="1" t="s">
        <v>35</v>
      </c>
      <c r="F195" s="1" t="s">
        <v>701</v>
      </c>
      <c r="G195" s="1" t="s">
        <v>37</v>
      </c>
      <c r="S195" s="2" t="s">
        <v>993</v>
      </c>
      <c r="T195" s="2" t="s">
        <v>994</v>
      </c>
      <c r="V195" s="1" t="s">
        <v>995</v>
      </c>
      <c r="X195" s="1" t="s">
        <v>983</v>
      </c>
      <c r="Y195" s="1" t="s">
        <v>983</v>
      </c>
    </row>
    <row r="196" customFormat="false" ht="13.8" hidden="false" customHeight="false" outlineLevel="0" collapsed="false">
      <c r="A196" s="1" t="s">
        <v>996</v>
      </c>
      <c r="B196" s="1" t="s">
        <v>997</v>
      </c>
      <c r="D196" s="1" t="s">
        <v>225</v>
      </c>
      <c r="E196" s="1" t="s">
        <v>101</v>
      </c>
      <c r="F196" s="1" t="s">
        <v>38</v>
      </c>
      <c r="G196" s="1" t="s">
        <v>701</v>
      </c>
      <c r="Q196" s="2" t="s">
        <v>998</v>
      </c>
      <c r="T196" s="2" t="s">
        <v>69</v>
      </c>
      <c r="V196" s="1" t="s">
        <v>999</v>
      </c>
      <c r="X196" s="1" t="s">
        <v>983</v>
      </c>
      <c r="Y196" s="1" t="s">
        <v>45</v>
      </c>
    </row>
    <row r="197" customFormat="false" ht="13.8" hidden="false" customHeight="false" outlineLevel="0" collapsed="false">
      <c r="A197" s="1" t="s">
        <v>1000</v>
      </c>
      <c r="B197" s="1" t="s">
        <v>1001</v>
      </c>
      <c r="D197" s="1" t="s">
        <v>783</v>
      </c>
      <c r="E197" s="1" t="s">
        <v>716</v>
      </c>
      <c r="F197" s="1" t="s">
        <v>521</v>
      </c>
      <c r="G197" s="1" t="s">
        <v>1002</v>
      </c>
      <c r="Q197" s="2" t="s">
        <v>1003</v>
      </c>
      <c r="S197" s="2" t="s">
        <v>1004</v>
      </c>
      <c r="T197" s="2" t="s">
        <v>1004</v>
      </c>
      <c r="V197" s="1" t="s">
        <v>1005</v>
      </c>
      <c r="X197" s="1" t="s">
        <v>983</v>
      </c>
      <c r="Y197" s="1" t="s">
        <v>1006</v>
      </c>
      <c r="AB197" s="1" t="s">
        <v>45</v>
      </c>
      <c r="AC197" s="1" t="s">
        <v>45</v>
      </c>
    </row>
    <row r="198" customFormat="false" ht="13.8" hidden="false" customHeight="false" outlineLevel="0" collapsed="false">
      <c r="A198" s="1" t="s">
        <v>1007</v>
      </c>
      <c r="B198" s="1" t="s">
        <v>1008</v>
      </c>
      <c r="D198" s="1" t="s">
        <v>63</v>
      </c>
      <c r="T198" s="2" t="s">
        <v>568</v>
      </c>
      <c r="V198" s="1" t="s">
        <v>48</v>
      </c>
      <c r="X198" s="1" t="s">
        <v>1009</v>
      </c>
      <c r="Y198" s="1" t="s">
        <v>45</v>
      </c>
      <c r="AB198" s="1" t="s">
        <v>59</v>
      </c>
      <c r="AC198" s="1" t="s">
        <v>142</v>
      </c>
    </row>
    <row r="199" customFormat="false" ht="13.8" hidden="false" customHeight="false" outlineLevel="0" collapsed="false">
      <c r="A199" s="1" t="s">
        <v>1010</v>
      </c>
      <c r="B199" s="1" t="s">
        <v>1011</v>
      </c>
      <c r="D199" s="1" t="s">
        <v>1012</v>
      </c>
      <c r="T199" s="2" t="s">
        <v>931</v>
      </c>
      <c r="V199" s="1" t="s">
        <v>1013</v>
      </c>
      <c r="X199" s="1" t="s">
        <v>1009</v>
      </c>
      <c r="Y199" s="1" t="s">
        <v>1009</v>
      </c>
      <c r="AB199" s="1" t="s">
        <v>59</v>
      </c>
      <c r="AC199" s="1" t="s">
        <v>142</v>
      </c>
    </row>
    <row r="200" customFormat="false" ht="13.8" hidden="false" customHeight="false" outlineLevel="0" collapsed="false">
      <c r="A200" s="1" t="s">
        <v>1014</v>
      </c>
      <c r="B200" s="1" t="s">
        <v>1015</v>
      </c>
      <c r="D200" s="1" t="s">
        <v>1012</v>
      </c>
      <c r="Q200" s="1" t="s">
        <v>45</v>
      </c>
      <c r="T200" s="2" t="s">
        <v>870</v>
      </c>
      <c r="V200" s="1" t="s">
        <v>140</v>
      </c>
      <c r="X200" s="1" t="s">
        <v>1009</v>
      </c>
      <c r="Y200" s="1" t="s">
        <v>1016</v>
      </c>
      <c r="AB200" s="1" t="s">
        <v>45</v>
      </c>
      <c r="AC200" s="1" t="s">
        <v>45</v>
      </c>
    </row>
    <row r="201" customFormat="false" ht="13.8" hidden="false" customHeight="false" outlineLevel="0" collapsed="false">
      <c r="A201" s="1" t="s">
        <v>1017</v>
      </c>
      <c r="B201" s="1" t="s">
        <v>1008</v>
      </c>
      <c r="D201" s="1" t="s">
        <v>63</v>
      </c>
      <c r="Q201" s="1" t="s">
        <v>45</v>
      </c>
      <c r="T201" s="2" t="s">
        <v>434</v>
      </c>
      <c r="V201" s="1" t="s">
        <v>1018</v>
      </c>
      <c r="X201" s="1" t="s">
        <v>1009</v>
      </c>
      <c r="Y201" s="1" t="s">
        <v>1009</v>
      </c>
      <c r="AB201" s="1" t="s">
        <v>59</v>
      </c>
      <c r="AC201" s="1" t="s">
        <v>338</v>
      </c>
      <c r="AG201" s="0" t="n">
        <v>1</v>
      </c>
    </row>
    <row r="202" customFormat="false" ht="13.8" hidden="false" customHeight="false" outlineLevel="0" collapsed="false">
      <c r="A202" s="1" t="s">
        <v>1019</v>
      </c>
      <c r="B202" s="1" t="s">
        <v>1008</v>
      </c>
      <c r="D202" s="1" t="s">
        <v>51</v>
      </c>
      <c r="T202" s="2" t="s">
        <v>405</v>
      </c>
      <c r="V202" s="1" t="s">
        <v>443</v>
      </c>
      <c r="X202" s="1" t="s">
        <v>318</v>
      </c>
      <c r="Y202" s="1" t="s">
        <v>318</v>
      </c>
    </row>
    <row r="203" customFormat="false" ht="13.8" hidden="false" customHeight="false" outlineLevel="0" collapsed="false">
      <c r="A203" s="1" t="s">
        <v>1020</v>
      </c>
      <c r="B203" s="1" t="s">
        <v>1021</v>
      </c>
      <c r="D203" s="1" t="s">
        <v>51</v>
      </c>
      <c r="T203" s="2" t="s">
        <v>405</v>
      </c>
      <c r="V203" s="1" t="s">
        <v>443</v>
      </c>
      <c r="X203" s="1" t="s">
        <v>318</v>
      </c>
      <c r="Y203" s="1" t="s">
        <v>318</v>
      </c>
    </row>
    <row r="204" customFormat="false" ht="13.8" hidden="false" customHeight="false" outlineLevel="0" collapsed="false">
      <c r="A204" s="1" t="s">
        <v>1022</v>
      </c>
      <c r="B204" s="1" t="s">
        <v>1023</v>
      </c>
      <c r="D204" s="1" t="s">
        <v>51</v>
      </c>
      <c r="T204" s="2" t="s">
        <v>938</v>
      </c>
      <c r="V204" s="1" t="s">
        <v>322</v>
      </c>
      <c r="X204" s="1" t="s">
        <v>318</v>
      </c>
      <c r="Y204" s="1" t="s">
        <v>318</v>
      </c>
    </row>
    <row r="205" customFormat="false" ht="13.8" hidden="false" customHeight="false" outlineLevel="0" collapsed="false">
      <c r="A205" s="1" t="s">
        <v>1024</v>
      </c>
      <c r="B205" s="1" t="s">
        <v>1025</v>
      </c>
      <c r="D205" s="1" t="s">
        <v>51</v>
      </c>
      <c r="T205" s="2" t="s">
        <v>326</v>
      </c>
      <c r="V205" s="1" t="s">
        <v>443</v>
      </c>
      <c r="X205" s="1" t="s">
        <v>318</v>
      </c>
      <c r="Y205" s="1" t="s">
        <v>318</v>
      </c>
    </row>
    <row r="206" customFormat="false" ht="13.8" hidden="false" customHeight="false" outlineLevel="0" collapsed="false">
      <c r="A206" s="1" t="s">
        <v>1026</v>
      </c>
      <c r="B206" s="1" t="s">
        <v>1027</v>
      </c>
      <c r="D206" s="1" t="s">
        <v>51</v>
      </c>
      <c r="T206" s="2" t="s">
        <v>1028</v>
      </c>
      <c r="V206" s="1" t="s">
        <v>322</v>
      </c>
      <c r="X206" s="1" t="s">
        <v>318</v>
      </c>
      <c r="Y206" s="1" t="s">
        <v>318</v>
      </c>
    </row>
    <row r="207" customFormat="false" ht="13.8" hidden="false" customHeight="false" outlineLevel="0" collapsed="false">
      <c r="A207" s="1" t="s">
        <v>1029</v>
      </c>
      <c r="B207" s="1" t="s">
        <v>1030</v>
      </c>
      <c r="D207" s="1" t="s">
        <v>78</v>
      </c>
      <c r="E207" s="1" t="s">
        <v>1031</v>
      </c>
      <c r="F207" s="1" t="s">
        <v>79</v>
      </c>
      <c r="G207" s="1" t="s">
        <v>36</v>
      </c>
      <c r="Q207" s="2" t="s">
        <v>1032</v>
      </c>
      <c r="S207" s="2" t="s">
        <v>1033</v>
      </c>
      <c r="T207" s="2" t="s">
        <v>1033</v>
      </c>
      <c r="V207" s="1" t="s">
        <v>1034</v>
      </c>
      <c r="X207" s="1" t="s">
        <v>1035</v>
      </c>
      <c r="Y207" s="1" t="s">
        <v>97</v>
      </c>
      <c r="AB207" s="1" t="s">
        <v>45</v>
      </c>
      <c r="AC207" s="1" t="s">
        <v>45</v>
      </c>
      <c r="AE207" s="1" t="s">
        <v>45</v>
      </c>
      <c r="AF207" s="1" t="s">
        <v>1036</v>
      </c>
    </row>
    <row r="208" customFormat="false" ht="13.8" hidden="false" customHeight="false" outlineLevel="0" collapsed="false">
      <c r="A208" s="1" t="s">
        <v>1037</v>
      </c>
      <c r="B208" s="1" t="s">
        <v>1038</v>
      </c>
      <c r="D208" s="1" t="s">
        <v>1039</v>
      </c>
      <c r="E208" s="1" t="s">
        <v>93</v>
      </c>
      <c r="F208" s="1" t="s">
        <v>36</v>
      </c>
      <c r="G208" s="1" t="s">
        <v>91</v>
      </c>
      <c r="M208" s="1" t="s">
        <v>1040</v>
      </c>
      <c r="N208" s="1" t="s">
        <v>1041</v>
      </c>
      <c r="Q208" s="2" t="s">
        <v>1042</v>
      </c>
      <c r="T208" s="2" t="s">
        <v>717</v>
      </c>
      <c r="V208" s="1" t="s">
        <v>396</v>
      </c>
      <c r="X208" s="1" t="s">
        <v>1035</v>
      </c>
      <c r="Y208" s="1" t="s">
        <v>1043</v>
      </c>
      <c r="AB208" s="1" t="s">
        <v>1044</v>
      </c>
      <c r="AC208" s="1" t="s">
        <v>88</v>
      </c>
    </row>
    <row r="209" customFormat="false" ht="13.8" hidden="false" customHeight="false" outlineLevel="0" collapsed="false">
      <c r="A209" s="1" t="s">
        <v>1045</v>
      </c>
      <c r="B209" s="1" t="s">
        <v>1038</v>
      </c>
      <c r="D209" s="1" t="s">
        <v>1039</v>
      </c>
      <c r="E209" s="1" t="s">
        <v>93</v>
      </c>
      <c r="F209" s="1" t="s">
        <v>36</v>
      </c>
      <c r="G209" s="1" t="s">
        <v>91</v>
      </c>
      <c r="M209" s="1" t="s">
        <v>1040</v>
      </c>
      <c r="N209" s="1" t="s">
        <v>1041</v>
      </c>
      <c r="Q209" s="2" t="s">
        <v>1042</v>
      </c>
      <c r="T209" s="2" t="s">
        <v>1046</v>
      </c>
      <c r="V209" s="1" t="s">
        <v>396</v>
      </c>
      <c r="X209" s="1" t="s">
        <v>1035</v>
      </c>
      <c r="Y209" s="1" t="s">
        <v>1043</v>
      </c>
      <c r="AB209" s="1" t="s">
        <v>1044</v>
      </c>
      <c r="AC209" s="1" t="s">
        <v>88</v>
      </c>
    </row>
    <row r="210" customFormat="false" ht="13.8" hidden="false" customHeight="false" outlineLevel="0" collapsed="false">
      <c r="A210" s="1" t="s">
        <v>1047</v>
      </c>
      <c r="B210" s="1" t="s">
        <v>1048</v>
      </c>
      <c r="D210" s="1" t="s">
        <v>462</v>
      </c>
      <c r="E210" s="1" t="s">
        <v>92</v>
      </c>
      <c r="F210" s="1" t="s">
        <v>37</v>
      </c>
      <c r="G210" s="1" t="s">
        <v>38</v>
      </c>
      <c r="H210" s="1" t="s">
        <v>79</v>
      </c>
      <c r="I210" s="1" t="s">
        <v>1049</v>
      </c>
      <c r="Q210" s="2" t="s">
        <v>482</v>
      </c>
      <c r="S210" s="2" t="s">
        <v>1050</v>
      </c>
      <c r="T210" s="2" t="s">
        <v>1050</v>
      </c>
      <c r="V210" s="1" t="s">
        <v>535</v>
      </c>
      <c r="X210" s="1" t="s">
        <v>1035</v>
      </c>
      <c r="Y210" s="1" t="s">
        <v>97</v>
      </c>
      <c r="AB210" s="1" t="s">
        <v>1051</v>
      </c>
      <c r="AC210" s="1" t="s">
        <v>88</v>
      </c>
    </row>
    <row r="211" customFormat="false" ht="13.8" hidden="false" customHeight="false" outlineLevel="0" collapsed="false">
      <c r="A211" s="1" t="s">
        <v>1052</v>
      </c>
      <c r="B211" s="1" t="s">
        <v>1053</v>
      </c>
      <c r="D211" s="1" t="s">
        <v>462</v>
      </c>
      <c r="E211" s="1" t="s">
        <v>93</v>
      </c>
      <c r="F211" s="1" t="s">
        <v>361</v>
      </c>
      <c r="Q211" s="2" t="s">
        <v>1054</v>
      </c>
      <c r="S211" s="2" t="s">
        <v>1055</v>
      </c>
      <c r="T211" s="2" t="s">
        <v>1056</v>
      </c>
      <c r="V211" s="1" t="s">
        <v>1057</v>
      </c>
      <c r="X211" s="1" t="s">
        <v>1035</v>
      </c>
      <c r="Y211" s="1" t="s">
        <v>1058</v>
      </c>
      <c r="AB211" s="1" t="s">
        <v>1059</v>
      </c>
      <c r="AC211" s="1" t="s">
        <v>88</v>
      </c>
    </row>
    <row r="212" customFormat="false" ht="13.8" hidden="false" customHeight="false" outlineLevel="0" collapsed="false">
      <c r="A212" s="1" t="s">
        <v>1060</v>
      </c>
      <c r="B212" s="1" t="s">
        <v>1061</v>
      </c>
      <c r="D212" s="1" t="s">
        <v>34</v>
      </c>
      <c r="E212" s="1" t="s">
        <v>37</v>
      </c>
      <c r="F212" s="1" t="s">
        <v>35</v>
      </c>
      <c r="G212" s="1" t="s">
        <v>36</v>
      </c>
      <c r="H212" s="1" t="s">
        <v>38</v>
      </c>
      <c r="M212" s="1" t="s">
        <v>463</v>
      </c>
      <c r="Q212" s="2" t="s">
        <v>465</v>
      </c>
      <c r="S212" s="2" t="s">
        <v>1062</v>
      </c>
      <c r="T212" s="2" t="s">
        <v>1062</v>
      </c>
      <c r="V212" s="1" t="s">
        <v>1063</v>
      </c>
      <c r="X212" s="1" t="s">
        <v>1035</v>
      </c>
      <c r="Y212" s="1" t="s">
        <v>45</v>
      </c>
      <c r="AB212" s="1" t="s">
        <v>59</v>
      </c>
      <c r="AC212" s="1" t="s">
        <v>60</v>
      </c>
    </row>
    <row r="213" customFormat="false" ht="13.8" hidden="false" customHeight="false" outlineLevel="0" collapsed="false">
      <c r="A213" s="1" t="s">
        <v>1064</v>
      </c>
      <c r="B213" s="1" t="s">
        <v>1065</v>
      </c>
      <c r="D213" s="1" t="s">
        <v>895</v>
      </c>
      <c r="E213" s="1" t="s">
        <v>905</v>
      </c>
      <c r="F213" s="1" t="s">
        <v>1066</v>
      </c>
      <c r="G213" s="1" t="s">
        <v>38</v>
      </c>
      <c r="H213" s="1" t="s">
        <v>696</v>
      </c>
      <c r="I213" s="1" t="s">
        <v>212</v>
      </c>
      <c r="M213" s="1" t="s">
        <v>1067</v>
      </c>
      <c r="Q213" s="2" t="s">
        <v>103</v>
      </c>
      <c r="S213" s="2" t="s">
        <v>482</v>
      </c>
      <c r="T213" s="2" t="s">
        <v>1068</v>
      </c>
      <c r="V213" s="1" t="s">
        <v>45</v>
      </c>
      <c r="X213" s="1" t="s">
        <v>1035</v>
      </c>
      <c r="Y213" s="1" t="s">
        <v>45</v>
      </c>
      <c r="AB213" s="1" t="s">
        <v>1069</v>
      </c>
      <c r="AC213" s="1" t="s">
        <v>60</v>
      </c>
    </row>
    <row r="214" customFormat="false" ht="13.8" hidden="false" customHeight="false" outlineLevel="0" collapsed="false">
      <c r="A214" s="1" t="s">
        <v>1070</v>
      </c>
      <c r="B214" s="1" t="s">
        <v>1071</v>
      </c>
      <c r="D214" s="1" t="s">
        <v>895</v>
      </c>
      <c r="E214" s="1" t="s">
        <v>905</v>
      </c>
      <c r="F214" s="1" t="s">
        <v>1072</v>
      </c>
      <c r="G214" s="1" t="s">
        <v>38</v>
      </c>
      <c r="H214" s="1" t="s">
        <v>696</v>
      </c>
      <c r="M214" s="1" t="s">
        <v>1067</v>
      </c>
      <c r="N214" s="1" t="s">
        <v>1073</v>
      </c>
      <c r="Q214" s="2" t="s">
        <v>1074</v>
      </c>
      <c r="S214" s="2" t="s">
        <v>68</v>
      </c>
      <c r="T214" s="2" t="s">
        <v>1068</v>
      </c>
      <c r="V214" s="1" t="s">
        <v>1075</v>
      </c>
      <c r="X214" s="1" t="s">
        <v>1035</v>
      </c>
      <c r="Y214" s="1" t="s">
        <v>1076</v>
      </c>
      <c r="AB214" s="1" t="s">
        <v>1069</v>
      </c>
      <c r="AC214" s="1" t="s">
        <v>60</v>
      </c>
    </row>
    <row r="215" customFormat="false" ht="13.8" hidden="false" customHeight="false" outlineLevel="0" collapsed="false">
      <c r="A215" s="1" t="s">
        <v>1077</v>
      </c>
      <c r="B215" s="1" t="s">
        <v>1078</v>
      </c>
      <c r="D215" s="1" t="s">
        <v>895</v>
      </c>
      <c r="E215" s="1" t="s">
        <v>905</v>
      </c>
      <c r="F215" s="1" t="s">
        <v>1066</v>
      </c>
      <c r="G215" s="1" t="s">
        <v>361</v>
      </c>
      <c r="M215" s="1" t="s">
        <v>1067</v>
      </c>
      <c r="Q215" s="2" t="s">
        <v>1079</v>
      </c>
      <c r="S215" s="2" t="s">
        <v>1080</v>
      </c>
      <c r="T215" s="2" t="s">
        <v>786</v>
      </c>
      <c r="V215" s="1" t="s">
        <v>45</v>
      </c>
      <c r="X215" s="1" t="s">
        <v>1035</v>
      </c>
      <c r="Y215" s="1" t="s">
        <v>45</v>
      </c>
      <c r="AB215" s="1" t="s">
        <v>1069</v>
      </c>
      <c r="AC215" s="1" t="s">
        <v>60</v>
      </c>
    </row>
    <row r="216" customFormat="false" ht="13.8" hidden="false" customHeight="false" outlineLevel="0" collapsed="false">
      <c r="A216" s="1" t="s">
        <v>1081</v>
      </c>
      <c r="B216" s="1" t="s">
        <v>1082</v>
      </c>
      <c r="D216" s="1" t="s">
        <v>895</v>
      </c>
      <c r="E216" s="1" t="s">
        <v>75</v>
      </c>
      <c r="F216" s="1" t="s">
        <v>905</v>
      </c>
      <c r="G216" s="1" t="s">
        <v>79</v>
      </c>
      <c r="H216" s="1" t="s">
        <v>696</v>
      </c>
      <c r="M216" s="1" t="s">
        <v>1083</v>
      </c>
      <c r="N216" s="1" t="s">
        <v>1084</v>
      </c>
      <c r="Q216" s="2" t="s">
        <v>1085</v>
      </c>
      <c r="S216" s="2" t="s">
        <v>982</v>
      </c>
      <c r="T216" s="2" t="s">
        <v>1086</v>
      </c>
      <c r="V216" s="1" t="s">
        <v>563</v>
      </c>
      <c r="X216" s="1" t="s">
        <v>1035</v>
      </c>
      <c r="Y216" s="1" t="s">
        <v>495</v>
      </c>
      <c r="AB216" s="1" t="s">
        <v>59</v>
      </c>
      <c r="AC216" s="1" t="s">
        <v>60</v>
      </c>
    </row>
    <row r="217" customFormat="false" ht="13.8" hidden="false" customHeight="false" outlineLevel="0" collapsed="false">
      <c r="A217" s="1" t="s">
        <v>1087</v>
      </c>
      <c r="B217" s="1" t="s">
        <v>1088</v>
      </c>
      <c r="D217" s="1" t="s">
        <v>78</v>
      </c>
      <c r="E217" s="1" t="s">
        <v>477</v>
      </c>
      <c r="F217" s="1" t="s">
        <v>1089</v>
      </c>
      <c r="G217" s="1" t="s">
        <v>38</v>
      </c>
      <c r="H217" s="1" t="s">
        <v>81</v>
      </c>
      <c r="I217" s="1" t="s">
        <v>35</v>
      </c>
      <c r="Q217" s="2" t="s">
        <v>798</v>
      </c>
      <c r="S217" s="2" t="s">
        <v>1090</v>
      </c>
      <c r="T217" s="2" t="s">
        <v>1090</v>
      </c>
      <c r="V217" s="1" t="s">
        <v>711</v>
      </c>
      <c r="X217" s="1" t="s">
        <v>1035</v>
      </c>
      <c r="Y217" s="1" t="s">
        <v>97</v>
      </c>
      <c r="AB217" s="1" t="s">
        <v>59</v>
      </c>
      <c r="AC217" s="1" t="s">
        <v>60</v>
      </c>
    </row>
    <row r="218" customFormat="false" ht="13.8" hidden="false" customHeight="false" outlineLevel="0" collapsed="false">
      <c r="A218" s="1" t="s">
        <v>1091</v>
      </c>
      <c r="B218" s="1" t="s">
        <v>1092</v>
      </c>
      <c r="D218" s="1" t="s">
        <v>377</v>
      </c>
      <c r="E218" s="1" t="s">
        <v>36</v>
      </c>
      <c r="F218" s="1" t="s">
        <v>38</v>
      </c>
      <c r="G218" s="1" t="s">
        <v>378</v>
      </c>
      <c r="Q218" s="2" t="s">
        <v>1093</v>
      </c>
      <c r="S218" s="1" t="s">
        <v>45</v>
      </c>
      <c r="T218" s="2" t="s">
        <v>1094</v>
      </c>
      <c r="V218" s="1" t="s">
        <v>45</v>
      </c>
      <c r="X218" s="1" t="s">
        <v>1035</v>
      </c>
      <c r="Y218" s="1" t="s">
        <v>1095</v>
      </c>
      <c r="AB218" s="1" t="s">
        <v>59</v>
      </c>
      <c r="AC218" s="1" t="s">
        <v>60</v>
      </c>
      <c r="AD218" s="1" t="s">
        <v>1096</v>
      </c>
      <c r="AG218" s="0" t="n">
        <v>1</v>
      </c>
    </row>
    <row r="219" customFormat="false" ht="13.8" hidden="false" customHeight="false" outlineLevel="0" collapsed="false">
      <c r="A219" s="1" t="s">
        <v>1097</v>
      </c>
      <c r="B219" s="1" t="s">
        <v>1098</v>
      </c>
      <c r="D219" s="1" t="s">
        <v>433</v>
      </c>
      <c r="E219" s="1" t="s">
        <v>74</v>
      </c>
      <c r="F219" s="1" t="s">
        <v>38</v>
      </c>
      <c r="Q219" s="2" t="s">
        <v>1099</v>
      </c>
      <c r="S219" s="2" t="s">
        <v>1100</v>
      </c>
      <c r="T219" s="2" t="s">
        <v>1101</v>
      </c>
      <c r="V219" s="1" t="s">
        <v>1102</v>
      </c>
      <c r="X219" s="1" t="s">
        <v>1035</v>
      </c>
      <c r="Y219" s="1" t="s">
        <v>1103</v>
      </c>
      <c r="AB219" s="1" t="s">
        <v>1104</v>
      </c>
      <c r="AC219" s="1" t="s">
        <v>60</v>
      </c>
    </row>
    <row r="220" customFormat="false" ht="13.8" hidden="false" customHeight="false" outlineLevel="0" collapsed="false">
      <c r="A220" s="1" t="s">
        <v>1105</v>
      </c>
      <c r="B220" s="1" t="s">
        <v>1106</v>
      </c>
      <c r="D220" s="1" t="s">
        <v>51</v>
      </c>
      <c r="E220" s="1" t="s">
        <v>905</v>
      </c>
      <c r="F220" s="1" t="s">
        <v>1107</v>
      </c>
      <c r="G220" s="1" t="s">
        <v>212</v>
      </c>
      <c r="H220" s="1" t="s">
        <v>35</v>
      </c>
      <c r="I220" s="1" t="s">
        <v>38</v>
      </c>
      <c r="J220" s="1" t="s">
        <v>52</v>
      </c>
      <c r="T220" s="2" t="s">
        <v>493</v>
      </c>
      <c r="V220" s="1" t="s">
        <v>140</v>
      </c>
      <c r="X220" s="1" t="s">
        <v>1035</v>
      </c>
      <c r="Y220" s="1" t="s">
        <v>221</v>
      </c>
    </row>
    <row r="221" customFormat="false" ht="13.8" hidden="false" customHeight="false" outlineLevel="0" collapsed="false">
      <c r="A221" s="1" t="s">
        <v>1108</v>
      </c>
      <c r="B221" s="1" t="s">
        <v>1109</v>
      </c>
      <c r="D221" s="1" t="s">
        <v>225</v>
      </c>
      <c r="E221" s="1" t="s">
        <v>35</v>
      </c>
      <c r="F221" s="1" t="s">
        <v>701</v>
      </c>
      <c r="G221" s="1" t="s">
        <v>66</v>
      </c>
      <c r="H221" s="1" t="s">
        <v>38</v>
      </c>
      <c r="I221" s="1" t="s">
        <v>701</v>
      </c>
      <c r="Q221" s="2" t="s">
        <v>533</v>
      </c>
      <c r="S221" s="2" t="s">
        <v>1110</v>
      </c>
      <c r="T221" s="2" t="s">
        <v>1110</v>
      </c>
      <c r="V221" s="1" t="s">
        <v>1111</v>
      </c>
      <c r="X221" s="1" t="s">
        <v>1035</v>
      </c>
      <c r="Y221" s="1" t="s">
        <v>1112</v>
      </c>
      <c r="AB221" s="1" t="s">
        <v>1113</v>
      </c>
      <c r="AC221" s="1" t="s">
        <v>60</v>
      </c>
    </row>
    <row r="222" customFormat="false" ht="13.8" hidden="false" customHeight="false" outlineLevel="0" collapsed="false">
      <c r="A222" s="1" t="s">
        <v>1114</v>
      </c>
      <c r="B222" s="1" t="s">
        <v>1115</v>
      </c>
      <c r="D222" s="1" t="s">
        <v>78</v>
      </c>
      <c r="E222" s="1" t="s">
        <v>79</v>
      </c>
      <c r="F222" s="1" t="s">
        <v>525</v>
      </c>
      <c r="G222" s="1" t="s">
        <v>701</v>
      </c>
      <c r="H222" s="1" t="s">
        <v>1002</v>
      </c>
      <c r="Q222" s="2" t="s">
        <v>102</v>
      </c>
      <c r="S222" s="2" t="s">
        <v>1116</v>
      </c>
      <c r="T222" s="2" t="s">
        <v>1116</v>
      </c>
      <c r="V222" s="1" t="s">
        <v>1117</v>
      </c>
      <c r="X222" s="1" t="s">
        <v>1035</v>
      </c>
      <c r="Y222" s="1" t="s">
        <v>1118</v>
      </c>
      <c r="AB222" s="1" t="s">
        <v>45</v>
      </c>
      <c r="AC222" s="1" t="s">
        <v>45</v>
      </c>
      <c r="AE222" s="1" t="s">
        <v>1119</v>
      </c>
    </row>
    <row r="223" customFormat="false" ht="13.8" hidden="false" customHeight="false" outlineLevel="0" collapsed="false">
      <c r="A223" s="1" t="s">
        <v>1120</v>
      </c>
      <c r="B223" s="1" t="s">
        <v>1121</v>
      </c>
      <c r="D223" s="1" t="s">
        <v>895</v>
      </c>
      <c r="E223" s="1" t="s">
        <v>905</v>
      </c>
      <c r="F223" s="1" t="s">
        <v>1072</v>
      </c>
      <c r="M223" s="1" t="s">
        <v>1122</v>
      </c>
      <c r="Q223" s="2" t="s">
        <v>516</v>
      </c>
      <c r="S223" s="2" t="s">
        <v>815</v>
      </c>
      <c r="T223" s="2" t="s">
        <v>481</v>
      </c>
      <c r="V223" s="1" t="s">
        <v>443</v>
      </c>
      <c r="X223" s="1" t="s">
        <v>1035</v>
      </c>
      <c r="Y223" s="1" t="s">
        <v>45</v>
      </c>
      <c r="AB223" s="1" t="s">
        <v>166</v>
      </c>
      <c r="AC223" s="1" t="s">
        <v>60</v>
      </c>
      <c r="AE223" s="1" t="s">
        <v>45</v>
      </c>
    </row>
    <row r="224" customFormat="false" ht="13.8" hidden="false" customHeight="false" outlineLevel="0" collapsed="false">
      <c r="A224" s="1" t="s">
        <v>1123</v>
      </c>
      <c r="B224" s="1" t="s">
        <v>1124</v>
      </c>
      <c r="D224" s="1" t="s">
        <v>895</v>
      </c>
      <c r="E224" s="1" t="s">
        <v>905</v>
      </c>
      <c r="F224" s="1" t="s">
        <v>1072</v>
      </c>
      <c r="G224" s="1" t="s">
        <v>38</v>
      </c>
      <c r="M224" s="1" t="s">
        <v>1122</v>
      </c>
      <c r="Q224" s="2" t="s">
        <v>516</v>
      </c>
      <c r="S224" s="2" t="s">
        <v>533</v>
      </c>
      <c r="T224" s="2" t="s">
        <v>1125</v>
      </c>
      <c r="V224" s="1" t="s">
        <v>45</v>
      </c>
      <c r="X224" s="1" t="s">
        <v>1035</v>
      </c>
      <c r="Y224" s="1" t="s">
        <v>45</v>
      </c>
      <c r="AB224" s="1" t="s">
        <v>166</v>
      </c>
      <c r="AC224" s="1" t="s">
        <v>60</v>
      </c>
      <c r="AE224" s="1" t="s">
        <v>45</v>
      </c>
    </row>
    <row r="225" customFormat="false" ht="13.8" hidden="false" customHeight="false" outlineLevel="0" collapsed="false">
      <c r="A225" s="1" t="s">
        <v>1070</v>
      </c>
      <c r="B225" s="1" t="s">
        <v>1126</v>
      </c>
      <c r="D225" s="1" t="s">
        <v>895</v>
      </c>
      <c r="E225" s="1" t="s">
        <v>905</v>
      </c>
      <c r="F225" s="1" t="s">
        <v>1072</v>
      </c>
      <c r="G225" s="1" t="s">
        <v>38</v>
      </c>
      <c r="H225" s="1" t="s">
        <v>696</v>
      </c>
      <c r="M225" s="1" t="s">
        <v>1122</v>
      </c>
      <c r="Q225" s="2" t="s">
        <v>114</v>
      </c>
      <c r="S225" s="2" t="s">
        <v>989</v>
      </c>
      <c r="T225" s="2" t="s">
        <v>989</v>
      </c>
      <c r="V225" s="1" t="s">
        <v>682</v>
      </c>
      <c r="X225" s="1" t="s">
        <v>1035</v>
      </c>
      <c r="Y225" s="1" t="s">
        <v>1076</v>
      </c>
      <c r="AB225" s="1" t="s">
        <v>166</v>
      </c>
      <c r="AC225" s="1" t="s">
        <v>60</v>
      </c>
      <c r="AE225" s="1" t="s">
        <v>45</v>
      </c>
    </row>
    <row r="226" customFormat="false" ht="13.8" hidden="false" customHeight="false" outlineLevel="0" collapsed="false">
      <c r="A226" s="1" t="s">
        <v>1127</v>
      </c>
      <c r="B226" s="1" t="s">
        <v>1128</v>
      </c>
      <c r="D226" s="1" t="s">
        <v>895</v>
      </c>
      <c r="E226" s="1" t="s">
        <v>905</v>
      </c>
      <c r="F226" s="1" t="s">
        <v>1072</v>
      </c>
      <c r="G226" s="1" t="s">
        <v>38</v>
      </c>
      <c r="M226" s="1" t="s">
        <v>1122</v>
      </c>
      <c r="Q226" s="2" t="s">
        <v>511</v>
      </c>
      <c r="S226" s="2" t="s">
        <v>1129</v>
      </c>
      <c r="T226" s="2" t="s">
        <v>1129</v>
      </c>
      <c r="V226" s="1" t="s">
        <v>443</v>
      </c>
      <c r="X226" s="1" t="s">
        <v>1035</v>
      </c>
      <c r="Y226" s="1" t="s">
        <v>45</v>
      </c>
      <c r="AB226" s="1" t="s">
        <v>166</v>
      </c>
      <c r="AC226" s="1" t="s">
        <v>60</v>
      </c>
      <c r="AE226" s="1" t="s">
        <v>45</v>
      </c>
    </row>
    <row r="227" customFormat="false" ht="13.8" hidden="false" customHeight="false" outlineLevel="0" collapsed="false">
      <c r="A227" s="1" t="s">
        <v>1130</v>
      </c>
      <c r="B227" s="1" t="s">
        <v>1131</v>
      </c>
      <c r="D227" s="1" t="s">
        <v>895</v>
      </c>
      <c r="E227" s="1" t="s">
        <v>905</v>
      </c>
      <c r="F227" s="1" t="s">
        <v>1107</v>
      </c>
      <c r="M227" s="1" t="s">
        <v>1122</v>
      </c>
      <c r="Q227" s="2" t="s">
        <v>1132</v>
      </c>
      <c r="S227" s="2" t="s">
        <v>1093</v>
      </c>
      <c r="T227" s="2" t="s">
        <v>1133</v>
      </c>
      <c r="V227" s="1" t="s">
        <v>45</v>
      </c>
      <c r="X227" s="1" t="s">
        <v>1035</v>
      </c>
      <c r="Y227" s="1" t="s">
        <v>1134</v>
      </c>
      <c r="AB227" s="1" t="s">
        <v>166</v>
      </c>
      <c r="AC227" s="1" t="s">
        <v>60</v>
      </c>
      <c r="AE227" s="1" t="s">
        <v>45</v>
      </c>
    </row>
    <row r="228" customFormat="false" ht="13.8" hidden="false" customHeight="false" outlineLevel="0" collapsed="false">
      <c r="A228" s="1" t="s">
        <v>1064</v>
      </c>
      <c r="B228" s="1" t="s">
        <v>1135</v>
      </c>
      <c r="D228" s="1" t="s">
        <v>895</v>
      </c>
      <c r="E228" s="1" t="s">
        <v>905</v>
      </c>
      <c r="F228" s="1" t="s">
        <v>1107</v>
      </c>
      <c r="M228" s="1" t="s">
        <v>1122</v>
      </c>
      <c r="Q228" s="2" t="s">
        <v>1132</v>
      </c>
      <c r="S228" s="2" t="s">
        <v>1080</v>
      </c>
      <c r="T228" s="2" t="s">
        <v>1136</v>
      </c>
      <c r="V228" s="1" t="s">
        <v>45</v>
      </c>
      <c r="X228" s="1" t="s">
        <v>1035</v>
      </c>
      <c r="Y228" s="1" t="s">
        <v>45</v>
      </c>
      <c r="AB228" s="1" t="s">
        <v>166</v>
      </c>
      <c r="AC228" s="1" t="s">
        <v>60</v>
      </c>
      <c r="AE228" s="1" t="s">
        <v>45</v>
      </c>
    </row>
    <row r="229" customFormat="false" ht="13.8" hidden="false" customHeight="false" outlineLevel="0" collapsed="false">
      <c r="A229" s="1" t="s">
        <v>1137</v>
      </c>
      <c r="B229" s="1" t="s">
        <v>1138</v>
      </c>
      <c r="D229" s="1" t="s">
        <v>895</v>
      </c>
      <c r="E229" s="1" t="s">
        <v>905</v>
      </c>
      <c r="F229" s="1" t="s">
        <v>1107</v>
      </c>
      <c r="M229" s="1" t="s">
        <v>1122</v>
      </c>
      <c r="Q229" s="2" t="s">
        <v>1139</v>
      </c>
      <c r="S229" s="2" t="s">
        <v>1140</v>
      </c>
      <c r="T229" s="2" t="s">
        <v>1129</v>
      </c>
      <c r="V229" s="1" t="s">
        <v>48</v>
      </c>
      <c r="X229" s="1" t="s">
        <v>1035</v>
      </c>
      <c r="Y229" s="1" t="s">
        <v>45</v>
      </c>
      <c r="AB229" s="1" t="s">
        <v>166</v>
      </c>
      <c r="AC229" s="1" t="s">
        <v>60</v>
      </c>
      <c r="AE229" s="1" t="s">
        <v>45</v>
      </c>
    </row>
    <row r="230" customFormat="false" ht="13.8" hidden="false" customHeight="false" outlineLevel="0" collapsed="false">
      <c r="A230" s="1" t="s">
        <v>1141</v>
      </c>
      <c r="B230" s="1" t="s">
        <v>1142</v>
      </c>
      <c r="D230" s="1" t="s">
        <v>895</v>
      </c>
      <c r="E230" s="1" t="s">
        <v>905</v>
      </c>
      <c r="F230" s="1" t="s">
        <v>1107</v>
      </c>
      <c r="M230" s="1" t="s">
        <v>1122</v>
      </c>
      <c r="Q230" s="2" t="s">
        <v>1143</v>
      </c>
      <c r="S230" s="2" t="s">
        <v>533</v>
      </c>
      <c r="T230" s="2" t="s">
        <v>1144</v>
      </c>
      <c r="V230" s="1" t="s">
        <v>45</v>
      </c>
      <c r="X230" s="1" t="s">
        <v>1035</v>
      </c>
      <c r="Y230" s="1" t="s">
        <v>45</v>
      </c>
      <c r="AB230" s="1" t="s">
        <v>166</v>
      </c>
      <c r="AC230" s="1" t="s">
        <v>60</v>
      </c>
      <c r="AE230" s="1" t="s">
        <v>45</v>
      </c>
    </row>
    <row r="231" customFormat="false" ht="13.8" hidden="false" customHeight="false" outlineLevel="0" collapsed="false">
      <c r="A231" s="1" t="s">
        <v>1145</v>
      </c>
      <c r="B231" s="1" t="s">
        <v>1146</v>
      </c>
      <c r="D231" s="1" t="s">
        <v>895</v>
      </c>
      <c r="E231" s="1" t="s">
        <v>905</v>
      </c>
      <c r="F231" s="1" t="s">
        <v>1107</v>
      </c>
      <c r="M231" s="1" t="s">
        <v>1122</v>
      </c>
      <c r="Q231" s="2" t="s">
        <v>1147</v>
      </c>
      <c r="S231" s="2" t="s">
        <v>1148</v>
      </c>
      <c r="T231" s="2" t="s">
        <v>1148</v>
      </c>
      <c r="V231" s="1" t="s">
        <v>45</v>
      </c>
      <c r="X231" s="1" t="s">
        <v>1035</v>
      </c>
      <c r="Y231" s="1" t="s">
        <v>45</v>
      </c>
      <c r="AB231" s="1" t="s">
        <v>166</v>
      </c>
      <c r="AC231" s="1" t="s">
        <v>60</v>
      </c>
      <c r="AE231" s="1" t="s">
        <v>45</v>
      </c>
    </row>
    <row r="232" customFormat="false" ht="13.8" hidden="false" customHeight="false" outlineLevel="0" collapsed="false">
      <c r="A232" s="1" t="s">
        <v>1149</v>
      </c>
      <c r="B232" s="1" t="s">
        <v>1150</v>
      </c>
      <c r="D232" s="1" t="s">
        <v>895</v>
      </c>
      <c r="E232" s="1" t="s">
        <v>905</v>
      </c>
      <c r="F232" s="1" t="s">
        <v>1151</v>
      </c>
      <c r="G232" s="1" t="s">
        <v>38</v>
      </c>
      <c r="M232" s="1" t="s">
        <v>1122</v>
      </c>
      <c r="Q232" s="2" t="s">
        <v>1143</v>
      </c>
      <c r="S232" s="2" t="s">
        <v>1152</v>
      </c>
      <c r="T232" s="2" t="s">
        <v>1152</v>
      </c>
      <c r="V232" s="1" t="s">
        <v>45</v>
      </c>
      <c r="X232" s="1" t="s">
        <v>1035</v>
      </c>
      <c r="Y232" s="1" t="s">
        <v>1153</v>
      </c>
      <c r="AB232" s="1" t="s">
        <v>166</v>
      </c>
      <c r="AC232" s="1" t="s">
        <v>60</v>
      </c>
      <c r="AE232" s="1" t="s">
        <v>45</v>
      </c>
    </row>
    <row r="233" customFormat="false" ht="13.8" hidden="false" customHeight="false" outlineLevel="0" collapsed="false">
      <c r="A233" s="1" t="s">
        <v>1154</v>
      </c>
      <c r="B233" s="1" t="s">
        <v>1155</v>
      </c>
      <c r="D233" s="1" t="s">
        <v>225</v>
      </c>
      <c r="E233" s="1" t="s">
        <v>35</v>
      </c>
      <c r="F233" s="1" t="s">
        <v>79</v>
      </c>
      <c r="G233" s="1" t="s">
        <v>36</v>
      </c>
      <c r="Q233" s="2" t="s">
        <v>1156</v>
      </c>
      <c r="S233" s="2" t="s">
        <v>1157</v>
      </c>
      <c r="T233" s="2" t="s">
        <v>1158</v>
      </c>
      <c r="V233" s="1" t="s">
        <v>45</v>
      </c>
      <c r="W233" s="1" t="s">
        <v>1159</v>
      </c>
      <c r="X233" s="1" t="s">
        <v>1035</v>
      </c>
      <c r="Y233" s="1" t="s">
        <v>45</v>
      </c>
      <c r="AB233" s="1" t="s">
        <v>600</v>
      </c>
      <c r="AC233" s="1" t="s">
        <v>142</v>
      </c>
    </row>
    <row r="234" customFormat="false" ht="13.8" hidden="false" customHeight="false" outlineLevel="0" collapsed="false">
      <c r="A234" s="1" t="s">
        <v>1160</v>
      </c>
      <c r="B234" s="1" t="s">
        <v>1161</v>
      </c>
      <c r="D234" s="1" t="s">
        <v>225</v>
      </c>
      <c r="E234" s="1" t="s">
        <v>35</v>
      </c>
      <c r="F234" s="1" t="s">
        <v>81</v>
      </c>
      <c r="G234" s="1" t="s">
        <v>38</v>
      </c>
      <c r="Q234" s="2" t="s">
        <v>1162</v>
      </c>
      <c r="S234" s="2" t="s">
        <v>604</v>
      </c>
      <c r="T234" s="2" t="s">
        <v>604</v>
      </c>
      <c r="V234" s="1" t="s">
        <v>45</v>
      </c>
      <c r="W234" s="1" t="s">
        <v>1159</v>
      </c>
      <c r="X234" s="1" t="s">
        <v>1035</v>
      </c>
      <c r="Y234" s="1" t="s">
        <v>45</v>
      </c>
      <c r="AB234" s="1" t="s">
        <v>600</v>
      </c>
      <c r="AC234" s="1" t="s">
        <v>142</v>
      </c>
    </row>
    <row r="235" customFormat="false" ht="13.8" hidden="false" customHeight="false" outlineLevel="0" collapsed="false">
      <c r="A235" s="1" t="s">
        <v>1163</v>
      </c>
      <c r="B235" s="1" t="s">
        <v>1164</v>
      </c>
      <c r="D235" s="1" t="s">
        <v>487</v>
      </c>
      <c r="E235" s="1" t="s">
        <v>488</v>
      </c>
      <c r="T235" s="2" t="s">
        <v>1165</v>
      </c>
      <c r="V235" s="1" t="s">
        <v>164</v>
      </c>
      <c r="X235" s="1" t="s">
        <v>1035</v>
      </c>
      <c r="Y235" s="1" t="s">
        <v>495</v>
      </c>
      <c r="AB235" s="1" t="s">
        <v>1166</v>
      </c>
      <c r="AC235" s="1" t="s">
        <v>142</v>
      </c>
    </row>
    <row r="236" customFormat="false" ht="13.8" hidden="false" customHeight="false" outlineLevel="0" collapsed="false">
      <c r="A236" s="1" t="s">
        <v>1167</v>
      </c>
      <c r="B236" s="1" t="s">
        <v>1168</v>
      </c>
      <c r="D236" s="1" t="s">
        <v>487</v>
      </c>
      <c r="E236" s="1" t="s">
        <v>488</v>
      </c>
      <c r="T236" s="2" t="s">
        <v>1165</v>
      </c>
      <c r="V236" s="1" t="s">
        <v>164</v>
      </c>
      <c r="X236" s="1" t="s">
        <v>1035</v>
      </c>
      <c r="Y236" s="1" t="s">
        <v>495</v>
      </c>
      <c r="AB236" s="1" t="s">
        <v>1166</v>
      </c>
      <c r="AC236" s="1" t="s">
        <v>142</v>
      </c>
    </row>
    <row r="237" customFormat="false" ht="13.8" hidden="false" customHeight="false" outlineLevel="0" collapsed="false">
      <c r="A237" s="1" t="s">
        <v>1169</v>
      </c>
      <c r="B237" s="1" t="s">
        <v>1170</v>
      </c>
      <c r="D237" s="1" t="s">
        <v>34</v>
      </c>
      <c r="T237" s="2" t="s">
        <v>1171</v>
      </c>
      <c r="V237" s="1" t="s">
        <v>45</v>
      </c>
      <c r="X237" s="1" t="s">
        <v>1035</v>
      </c>
      <c r="Y237" s="1" t="s">
        <v>45</v>
      </c>
      <c r="AB237" s="1" t="s">
        <v>59</v>
      </c>
      <c r="AC237" s="1" t="s">
        <v>222</v>
      </c>
      <c r="AG237" s="0" t="n">
        <v>1</v>
      </c>
    </row>
    <row r="238" customFormat="false" ht="13.8" hidden="false" customHeight="false" outlineLevel="0" collapsed="false">
      <c r="A238" s="1" t="s">
        <v>1172</v>
      </c>
      <c r="B238" s="1" t="s">
        <v>1173</v>
      </c>
      <c r="D238" s="1" t="s">
        <v>1174</v>
      </c>
      <c r="T238" s="2" t="s">
        <v>1175</v>
      </c>
      <c r="V238" s="1" t="s">
        <v>45</v>
      </c>
      <c r="X238" s="1" t="s">
        <v>1035</v>
      </c>
      <c r="Y238" s="1" t="s">
        <v>1176</v>
      </c>
      <c r="AB238" s="1" t="s">
        <v>59</v>
      </c>
      <c r="AC238" s="1" t="s">
        <v>222</v>
      </c>
      <c r="AG238" s="0" t="n">
        <v>1</v>
      </c>
    </row>
    <row r="239" customFormat="false" ht="13.8" hidden="false" customHeight="false" outlineLevel="0" collapsed="false">
      <c r="A239" s="1" t="s">
        <v>1177</v>
      </c>
      <c r="B239" s="1" t="s">
        <v>1178</v>
      </c>
      <c r="D239" s="1" t="s">
        <v>452</v>
      </c>
      <c r="Q239" s="2" t="s">
        <v>542</v>
      </c>
      <c r="T239" s="2" t="s">
        <v>1179</v>
      </c>
      <c r="V239" s="1" t="s">
        <v>164</v>
      </c>
      <c r="X239" s="1" t="s">
        <v>1035</v>
      </c>
      <c r="Y239" s="1" t="s">
        <v>1180</v>
      </c>
      <c r="AG239" s="0" t="n">
        <v>1</v>
      </c>
    </row>
    <row r="240" customFormat="false" ht="13.8" hidden="false" customHeight="false" outlineLevel="0" collapsed="false">
      <c r="A240" s="1" t="s">
        <v>1181</v>
      </c>
      <c r="B240" s="1" t="s">
        <v>1182</v>
      </c>
      <c r="D240" s="1" t="s">
        <v>452</v>
      </c>
      <c r="T240" s="2" t="s">
        <v>1183</v>
      </c>
      <c r="V240" s="1" t="s">
        <v>45</v>
      </c>
      <c r="X240" s="1" t="s">
        <v>1035</v>
      </c>
      <c r="Y240" s="1" t="s">
        <v>1184</v>
      </c>
      <c r="AB240" s="1" t="s">
        <v>166</v>
      </c>
      <c r="AC240" s="1" t="s">
        <v>142</v>
      </c>
      <c r="AG240" s="0" t="n">
        <v>1</v>
      </c>
    </row>
    <row r="241" customFormat="false" ht="13.8" hidden="false" customHeight="false" outlineLevel="0" collapsed="false">
      <c r="A241" s="1" t="s">
        <v>1185</v>
      </c>
      <c r="B241" s="1" t="s">
        <v>1186</v>
      </c>
      <c r="D241" s="1" t="s">
        <v>78</v>
      </c>
      <c r="T241" s="2" t="s">
        <v>1187</v>
      </c>
      <c r="V241" s="1" t="s">
        <v>711</v>
      </c>
      <c r="X241" s="1" t="s">
        <v>1035</v>
      </c>
      <c r="Y241" s="1" t="s">
        <v>1188</v>
      </c>
      <c r="AB241" s="1" t="s">
        <v>166</v>
      </c>
      <c r="AC241" s="1" t="s">
        <v>142</v>
      </c>
      <c r="AG241" s="0" t="n">
        <v>1</v>
      </c>
    </row>
    <row r="242" customFormat="false" ht="13.8" hidden="false" customHeight="false" outlineLevel="0" collapsed="false">
      <c r="A242" s="1" t="s">
        <v>1189</v>
      </c>
      <c r="B242" s="1" t="s">
        <v>1190</v>
      </c>
      <c r="D242" s="1" t="s">
        <v>51</v>
      </c>
      <c r="T242" s="2" t="s">
        <v>207</v>
      </c>
      <c r="V242" s="1" t="s">
        <v>1013</v>
      </c>
      <c r="X242" s="1" t="s">
        <v>1035</v>
      </c>
      <c r="Y242" s="1" t="s">
        <v>1191</v>
      </c>
      <c r="AB242" s="1" t="s">
        <v>166</v>
      </c>
      <c r="AC242" s="1" t="s">
        <v>142</v>
      </c>
      <c r="AG242" s="0" t="n">
        <v>1</v>
      </c>
    </row>
    <row r="243" customFormat="false" ht="13.8" hidden="false" customHeight="false" outlineLevel="0" collapsed="false">
      <c r="A243" s="1" t="s">
        <v>1192</v>
      </c>
      <c r="B243" s="1" t="s">
        <v>1193</v>
      </c>
      <c r="D243" s="1" t="s">
        <v>51</v>
      </c>
      <c r="T243" s="2" t="s">
        <v>1158</v>
      </c>
      <c r="V243" s="1" t="s">
        <v>443</v>
      </c>
      <c r="X243" s="1" t="s">
        <v>1035</v>
      </c>
      <c r="Y243" s="1" t="s">
        <v>45</v>
      </c>
      <c r="AB243" s="1" t="s">
        <v>166</v>
      </c>
      <c r="AC243" s="1" t="s">
        <v>142</v>
      </c>
      <c r="AG243" s="0" t="n">
        <v>1</v>
      </c>
    </row>
    <row r="244" customFormat="false" ht="13.8" hidden="false" customHeight="false" outlineLevel="0" collapsed="false">
      <c r="A244" s="1" t="s">
        <v>1194</v>
      </c>
      <c r="B244" s="1" t="s">
        <v>1195</v>
      </c>
      <c r="D244" s="1" t="s">
        <v>51</v>
      </c>
      <c r="T244" s="2" t="s">
        <v>1183</v>
      </c>
      <c r="V244" s="1" t="s">
        <v>45</v>
      </c>
      <c r="X244" s="1" t="s">
        <v>1035</v>
      </c>
      <c r="Y244" s="1" t="s">
        <v>1196</v>
      </c>
      <c r="AB244" s="1" t="s">
        <v>166</v>
      </c>
      <c r="AC244" s="1" t="s">
        <v>142</v>
      </c>
      <c r="AG244" s="0" t="n">
        <v>1</v>
      </c>
    </row>
    <row r="245" customFormat="false" ht="13.8" hidden="false" customHeight="false" outlineLevel="0" collapsed="false">
      <c r="A245" s="1" t="s">
        <v>1197</v>
      </c>
      <c r="B245" s="1" t="s">
        <v>1198</v>
      </c>
      <c r="D245" s="1" t="s">
        <v>51</v>
      </c>
      <c r="T245" s="2" t="s">
        <v>1187</v>
      </c>
      <c r="V245" s="1" t="s">
        <v>45</v>
      </c>
      <c r="X245" s="1" t="s">
        <v>1035</v>
      </c>
      <c r="Y245" s="1" t="s">
        <v>45</v>
      </c>
      <c r="AB245" s="1" t="s">
        <v>166</v>
      </c>
      <c r="AC245" s="1" t="s">
        <v>142</v>
      </c>
      <c r="AG245" s="0" t="n">
        <v>1</v>
      </c>
    </row>
    <row r="246" customFormat="false" ht="13.8" hidden="false" customHeight="false" outlineLevel="0" collapsed="false">
      <c r="A246" s="1" t="s">
        <v>1137</v>
      </c>
      <c r="B246" s="1" t="s">
        <v>1199</v>
      </c>
      <c r="D246" s="1" t="s">
        <v>51</v>
      </c>
      <c r="T246" s="2" t="s">
        <v>1187</v>
      </c>
      <c r="V246" s="1" t="s">
        <v>48</v>
      </c>
      <c r="X246" s="1" t="s">
        <v>1035</v>
      </c>
      <c r="Y246" s="1" t="s">
        <v>45</v>
      </c>
      <c r="AB246" s="1" t="s">
        <v>166</v>
      </c>
      <c r="AC246" s="1" t="s">
        <v>142</v>
      </c>
    </row>
    <row r="247" customFormat="false" ht="13.8" hidden="false" customHeight="false" outlineLevel="0" collapsed="false">
      <c r="A247" s="1" t="s">
        <v>1200</v>
      </c>
      <c r="B247" s="1" t="s">
        <v>1201</v>
      </c>
      <c r="D247" s="1" t="s">
        <v>51</v>
      </c>
      <c r="T247" s="2" t="s">
        <v>1202</v>
      </c>
      <c r="V247" s="1" t="s">
        <v>45</v>
      </c>
      <c r="X247" s="1" t="s">
        <v>1035</v>
      </c>
      <c r="Y247" s="1" t="s">
        <v>1153</v>
      </c>
      <c r="AB247" s="1" t="s">
        <v>166</v>
      </c>
      <c r="AC247" s="1" t="s">
        <v>142</v>
      </c>
    </row>
    <row r="248" customFormat="false" ht="13.8" hidden="false" customHeight="false" outlineLevel="0" collapsed="false">
      <c r="A248" s="1" t="s">
        <v>1203</v>
      </c>
      <c r="B248" s="1" t="s">
        <v>1204</v>
      </c>
      <c r="D248" s="1" t="s">
        <v>51</v>
      </c>
      <c r="T248" s="2" t="s">
        <v>442</v>
      </c>
      <c r="V248" s="1" t="s">
        <v>45</v>
      </c>
      <c r="X248" s="1" t="s">
        <v>1035</v>
      </c>
      <c r="Y248" s="1" t="s">
        <v>1205</v>
      </c>
      <c r="AB248" s="1" t="s">
        <v>59</v>
      </c>
      <c r="AC248" s="1" t="s">
        <v>142</v>
      </c>
    </row>
    <row r="249" customFormat="false" ht="13.8" hidden="false" customHeight="false" outlineLevel="0" collapsed="false">
      <c r="A249" s="1" t="s">
        <v>1206</v>
      </c>
      <c r="B249" s="1" t="s">
        <v>1207</v>
      </c>
      <c r="D249" s="1" t="s">
        <v>51</v>
      </c>
      <c r="T249" s="2" t="s">
        <v>931</v>
      </c>
      <c r="V249" s="1" t="s">
        <v>45</v>
      </c>
      <c r="X249" s="1" t="s">
        <v>1035</v>
      </c>
      <c r="Y249" s="1" t="s">
        <v>1208</v>
      </c>
      <c r="AB249" s="1" t="s">
        <v>59</v>
      </c>
      <c r="AC249" s="1" t="s">
        <v>142</v>
      </c>
    </row>
    <row r="250" customFormat="false" ht="13.8" hidden="false" customHeight="false" outlineLevel="0" collapsed="false">
      <c r="A250" s="1" t="s">
        <v>1209</v>
      </c>
      <c r="B250" s="1" t="s">
        <v>1210</v>
      </c>
      <c r="D250" s="1" t="s">
        <v>78</v>
      </c>
      <c r="T250" s="2" t="s">
        <v>1211</v>
      </c>
      <c r="V250" s="1" t="s">
        <v>208</v>
      </c>
      <c r="X250" s="1" t="s">
        <v>1035</v>
      </c>
      <c r="Y250" s="1" t="s">
        <v>45</v>
      </c>
      <c r="AB250" s="1" t="s">
        <v>59</v>
      </c>
      <c r="AC250" s="1" t="s">
        <v>142</v>
      </c>
    </row>
    <row r="251" customFormat="false" ht="13.8" hidden="false" customHeight="false" outlineLevel="0" collapsed="false">
      <c r="A251" s="1" t="s">
        <v>1212</v>
      </c>
      <c r="B251" s="1" t="s">
        <v>1213</v>
      </c>
      <c r="D251" s="1" t="s">
        <v>51</v>
      </c>
      <c r="T251" s="2" t="s">
        <v>159</v>
      </c>
      <c r="V251" s="1" t="s">
        <v>164</v>
      </c>
      <c r="X251" s="1" t="s">
        <v>1035</v>
      </c>
      <c r="Y251" s="1" t="s">
        <v>1214</v>
      </c>
      <c r="AB251" s="1" t="s">
        <v>59</v>
      </c>
      <c r="AC251" s="1" t="s">
        <v>142</v>
      </c>
    </row>
    <row r="252" customFormat="false" ht="13.8" hidden="false" customHeight="false" outlineLevel="0" collapsed="false">
      <c r="A252" s="1" t="s">
        <v>1215</v>
      </c>
      <c r="B252" s="1" t="s">
        <v>1216</v>
      </c>
      <c r="D252" s="1" t="s">
        <v>51</v>
      </c>
      <c r="T252" s="2" t="s">
        <v>1217</v>
      </c>
      <c r="V252" s="1" t="s">
        <v>682</v>
      </c>
      <c r="X252" s="1" t="s">
        <v>1035</v>
      </c>
      <c r="Y252" s="1" t="s">
        <v>1214</v>
      </c>
      <c r="AB252" s="1" t="s">
        <v>59</v>
      </c>
      <c r="AC252" s="1" t="s">
        <v>142</v>
      </c>
    </row>
    <row r="253" customFormat="false" ht="13.8" hidden="false" customHeight="false" outlineLevel="0" collapsed="false">
      <c r="A253" s="1" t="s">
        <v>475</v>
      </c>
      <c r="B253" s="1" t="s">
        <v>1218</v>
      </c>
      <c r="D253" s="1" t="s">
        <v>225</v>
      </c>
      <c r="T253" s="2" t="s">
        <v>666</v>
      </c>
      <c r="V253" s="1" t="s">
        <v>45</v>
      </c>
      <c r="X253" s="1" t="s">
        <v>1035</v>
      </c>
      <c r="Y253" s="1" t="s">
        <v>1219</v>
      </c>
      <c r="AB253" s="1" t="s">
        <v>59</v>
      </c>
      <c r="AC253" s="1" t="s">
        <v>142</v>
      </c>
    </row>
    <row r="254" customFormat="false" ht="13.8" hidden="false" customHeight="false" outlineLevel="0" collapsed="false">
      <c r="A254" s="1" t="s">
        <v>1220</v>
      </c>
      <c r="B254" s="1" t="s">
        <v>1221</v>
      </c>
      <c r="D254" s="1" t="s">
        <v>78</v>
      </c>
      <c r="T254" s="2" t="s">
        <v>1222</v>
      </c>
      <c r="V254" s="1" t="s">
        <v>563</v>
      </c>
      <c r="X254" s="1" t="s">
        <v>1035</v>
      </c>
      <c r="Y254" s="1" t="s">
        <v>221</v>
      </c>
      <c r="AB254" s="1" t="s">
        <v>59</v>
      </c>
      <c r="AC254" s="1" t="s">
        <v>142</v>
      </c>
    </row>
    <row r="255" customFormat="false" ht="13.8" hidden="false" customHeight="false" outlineLevel="0" collapsed="false">
      <c r="A255" s="1" t="s">
        <v>1223</v>
      </c>
      <c r="B255" s="1" t="s">
        <v>1224</v>
      </c>
      <c r="D255" s="1" t="s">
        <v>225</v>
      </c>
      <c r="T255" s="2" t="s">
        <v>1225</v>
      </c>
      <c r="V255" s="1" t="s">
        <v>45</v>
      </c>
      <c r="X255" s="1" t="s">
        <v>1035</v>
      </c>
      <c r="Y255" s="1" t="s">
        <v>1226</v>
      </c>
      <c r="AB255" s="1" t="s">
        <v>59</v>
      </c>
      <c r="AC255" s="1" t="s">
        <v>142</v>
      </c>
    </row>
    <row r="256" customFormat="false" ht="13.8" hidden="false" customHeight="false" outlineLevel="0" collapsed="false">
      <c r="A256" s="1" t="s">
        <v>1223</v>
      </c>
      <c r="B256" s="1" t="s">
        <v>1224</v>
      </c>
      <c r="D256" s="1" t="s">
        <v>225</v>
      </c>
      <c r="T256" s="2" t="s">
        <v>1227</v>
      </c>
      <c r="V256" s="1" t="s">
        <v>45</v>
      </c>
      <c r="X256" s="1" t="s">
        <v>1035</v>
      </c>
      <c r="Y256" s="1" t="s">
        <v>1226</v>
      </c>
      <c r="AB256" s="1" t="s">
        <v>59</v>
      </c>
      <c r="AC256" s="1" t="s">
        <v>222</v>
      </c>
    </row>
    <row r="257" customFormat="false" ht="13.8" hidden="false" customHeight="false" outlineLevel="0" collapsed="false">
      <c r="A257" s="1" t="s">
        <v>1228</v>
      </c>
      <c r="B257" s="1" t="s">
        <v>1229</v>
      </c>
      <c r="D257" s="1" t="s">
        <v>34</v>
      </c>
      <c r="T257" s="2" t="s">
        <v>442</v>
      </c>
      <c r="V257" s="1" t="s">
        <v>1230</v>
      </c>
      <c r="X257" s="1" t="s">
        <v>1035</v>
      </c>
      <c r="Y257" s="1" t="s">
        <v>45</v>
      </c>
      <c r="AB257" s="1" t="s">
        <v>59</v>
      </c>
      <c r="AC257" s="1" t="s">
        <v>142</v>
      </c>
    </row>
    <row r="258" customFormat="false" ht="13.8" hidden="false" customHeight="false" outlineLevel="0" collapsed="false">
      <c r="A258" s="1" t="s">
        <v>1231</v>
      </c>
      <c r="B258" s="1" t="s">
        <v>1109</v>
      </c>
      <c r="D258" s="1" t="s">
        <v>225</v>
      </c>
      <c r="T258" s="2" t="s">
        <v>1232</v>
      </c>
      <c r="V258" s="1" t="s">
        <v>269</v>
      </c>
      <c r="X258" s="1" t="s">
        <v>1035</v>
      </c>
      <c r="Y258" s="1" t="s">
        <v>1233</v>
      </c>
      <c r="AB258" s="1" t="s">
        <v>59</v>
      </c>
      <c r="AC258" s="1" t="s">
        <v>142</v>
      </c>
    </row>
    <row r="259" customFormat="false" ht="13.8" hidden="false" customHeight="false" outlineLevel="0" collapsed="false">
      <c r="A259" s="1" t="s">
        <v>1234</v>
      </c>
      <c r="B259" s="1" t="s">
        <v>1235</v>
      </c>
      <c r="D259" s="1" t="s">
        <v>34</v>
      </c>
      <c r="T259" s="2" t="s">
        <v>666</v>
      </c>
      <c r="V259" s="1" t="s">
        <v>1236</v>
      </c>
      <c r="X259" s="1" t="s">
        <v>1035</v>
      </c>
      <c r="Y259" s="1" t="s">
        <v>495</v>
      </c>
      <c r="AB259" s="1" t="s">
        <v>59</v>
      </c>
      <c r="AC259" s="1" t="s">
        <v>142</v>
      </c>
    </row>
    <row r="260" customFormat="false" ht="13.8" hidden="false" customHeight="false" outlineLevel="0" collapsed="false">
      <c r="A260" s="1" t="s">
        <v>1234</v>
      </c>
      <c r="B260" s="1" t="s">
        <v>1237</v>
      </c>
      <c r="D260" s="1" t="s">
        <v>433</v>
      </c>
      <c r="E260" s="1" t="s">
        <v>74</v>
      </c>
      <c r="M260" s="1" t="s">
        <v>633</v>
      </c>
      <c r="T260" s="2" t="s">
        <v>1238</v>
      </c>
      <c r="V260" s="1" t="s">
        <v>45</v>
      </c>
      <c r="W260" s="1" t="s">
        <v>599</v>
      </c>
      <c r="X260" s="1" t="s">
        <v>1035</v>
      </c>
      <c r="Y260" s="1" t="s">
        <v>97</v>
      </c>
      <c r="AB260" s="1" t="s">
        <v>59</v>
      </c>
      <c r="AC260" s="1" t="s">
        <v>222</v>
      </c>
    </row>
    <row r="261" customFormat="false" ht="13.8" hidden="false" customHeight="false" outlineLevel="0" collapsed="false">
      <c r="A261" s="1" t="s">
        <v>1239</v>
      </c>
      <c r="B261" s="1" t="s">
        <v>1240</v>
      </c>
      <c r="D261" s="1" t="s">
        <v>34</v>
      </c>
      <c r="E261" s="1" t="s">
        <v>36</v>
      </c>
      <c r="F261" s="1" t="s">
        <v>361</v>
      </c>
      <c r="G261" s="1" t="s">
        <v>92</v>
      </c>
      <c r="T261" s="2" t="s">
        <v>1241</v>
      </c>
      <c r="V261" s="1" t="s">
        <v>1005</v>
      </c>
      <c r="X261" s="1" t="s">
        <v>1035</v>
      </c>
      <c r="Y261" s="1" t="s">
        <v>645</v>
      </c>
    </row>
    <row r="262" customFormat="false" ht="13.8" hidden="false" customHeight="false" outlineLevel="0" collapsed="false">
      <c r="A262" s="1" t="s">
        <v>1242</v>
      </c>
      <c r="B262" s="1" t="s">
        <v>1243</v>
      </c>
      <c r="D262" s="1" t="s">
        <v>78</v>
      </c>
      <c r="E262" s="1" t="s">
        <v>79</v>
      </c>
      <c r="F262" s="1" t="s">
        <v>361</v>
      </c>
      <c r="G262" s="1" t="s">
        <v>1244</v>
      </c>
      <c r="Q262" s="2" t="s">
        <v>94</v>
      </c>
      <c r="T262" s="2" t="s">
        <v>1245</v>
      </c>
      <c r="V262" s="1" t="s">
        <v>164</v>
      </c>
      <c r="X262" s="1" t="s">
        <v>1035</v>
      </c>
      <c r="Y262" s="1" t="s">
        <v>45</v>
      </c>
      <c r="AB262" s="1" t="s">
        <v>513</v>
      </c>
      <c r="AC262" s="1" t="s">
        <v>60</v>
      </c>
    </row>
    <row r="263" customFormat="false" ht="13.8" hidden="false" customHeight="false" outlineLevel="0" collapsed="false">
      <c r="A263" s="1" t="s">
        <v>1246</v>
      </c>
      <c r="B263" s="1" t="s">
        <v>1247</v>
      </c>
      <c r="D263" s="1" t="s">
        <v>34</v>
      </c>
      <c r="T263" s="2" t="s">
        <v>722</v>
      </c>
      <c r="V263" s="1" t="s">
        <v>140</v>
      </c>
      <c r="X263" s="1" t="s">
        <v>1248</v>
      </c>
      <c r="Y263" s="1" t="s">
        <v>1249</v>
      </c>
    </row>
    <row r="264" customFormat="false" ht="13.8" hidden="false" customHeight="false" outlineLevel="0" collapsed="false">
      <c r="A264" s="1" t="s">
        <v>1250</v>
      </c>
      <c r="B264" s="1" t="s">
        <v>1251</v>
      </c>
      <c r="D264" s="1" t="s">
        <v>953</v>
      </c>
      <c r="Q264" s="1" t="s">
        <v>45</v>
      </c>
      <c r="T264" s="2" t="s">
        <v>1232</v>
      </c>
      <c r="V264" s="1" t="s">
        <v>140</v>
      </c>
      <c r="X264" s="1" t="s">
        <v>1252</v>
      </c>
      <c r="Y264" s="1" t="s">
        <v>1253</v>
      </c>
      <c r="AB264" s="1" t="s">
        <v>45</v>
      </c>
      <c r="AC264" s="1" t="s">
        <v>45</v>
      </c>
    </row>
    <row r="265" customFormat="false" ht="13.8" hidden="false" customHeight="false" outlineLevel="0" collapsed="false">
      <c r="A265" s="1" t="s">
        <v>1254</v>
      </c>
      <c r="B265" s="1" t="s">
        <v>1255</v>
      </c>
      <c r="D265" s="1" t="s">
        <v>452</v>
      </c>
      <c r="Q265" s="1" t="s">
        <v>45</v>
      </c>
      <c r="T265" s="2" t="s">
        <v>159</v>
      </c>
      <c r="V265" s="1" t="s">
        <v>164</v>
      </c>
      <c r="X265" s="1" t="s">
        <v>1252</v>
      </c>
      <c r="Y265" s="1" t="s">
        <v>1253</v>
      </c>
      <c r="AB265" s="1" t="s">
        <v>45</v>
      </c>
      <c r="AC265" s="1" t="s">
        <v>45</v>
      </c>
    </row>
    <row r="266" customFormat="false" ht="13.8" hidden="false" customHeight="false" outlineLevel="0" collapsed="false">
      <c r="A266" s="1" t="s">
        <v>1256</v>
      </c>
      <c r="B266" s="1" t="s">
        <v>1257</v>
      </c>
      <c r="D266" s="1" t="s">
        <v>51</v>
      </c>
      <c r="Q266" s="1" t="s">
        <v>45</v>
      </c>
      <c r="T266" s="2" t="s">
        <v>1258</v>
      </c>
      <c r="V266" s="1" t="s">
        <v>164</v>
      </c>
      <c r="X266" s="1" t="s">
        <v>1252</v>
      </c>
      <c r="Y266" s="1" t="s">
        <v>1252</v>
      </c>
      <c r="AB266" s="1" t="s">
        <v>45</v>
      </c>
      <c r="AC266" s="1" t="s">
        <v>45</v>
      </c>
    </row>
    <row r="267" customFormat="false" ht="13.8" hidden="false" customHeight="false" outlineLevel="0" collapsed="false">
      <c r="A267" s="1" t="s">
        <v>1259</v>
      </c>
      <c r="B267" s="1" t="s">
        <v>1260</v>
      </c>
      <c r="D267" s="1" t="s">
        <v>1261</v>
      </c>
      <c r="E267" s="1" t="s">
        <v>36</v>
      </c>
      <c r="F267" s="1" t="s">
        <v>1262</v>
      </c>
      <c r="G267" s="1" t="s">
        <v>81</v>
      </c>
      <c r="M267" s="1" t="s">
        <v>1263</v>
      </c>
      <c r="Q267" s="1" t="s">
        <v>45</v>
      </c>
      <c r="S267" s="2" t="s">
        <v>1264</v>
      </c>
      <c r="T267" s="2" t="s">
        <v>1264</v>
      </c>
      <c r="V267" s="1" t="s">
        <v>1265</v>
      </c>
      <c r="X267" s="1" t="s">
        <v>1266</v>
      </c>
      <c r="Y267" s="1" t="s">
        <v>1267</v>
      </c>
      <c r="AB267" s="1" t="s">
        <v>45</v>
      </c>
      <c r="AC267" s="1" t="s">
        <v>45</v>
      </c>
      <c r="AE267" s="1" t="s">
        <v>45</v>
      </c>
      <c r="AF267" s="1" t="s">
        <v>1268</v>
      </c>
    </row>
    <row r="268" customFormat="false" ht="13.8" hidden="false" customHeight="false" outlineLevel="0" collapsed="false">
      <c r="A268" s="1" t="s">
        <v>1269</v>
      </c>
      <c r="B268" s="1" t="s">
        <v>1270</v>
      </c>
      <c r="D268" s="1" t="s">
        <v>452</v>
      </c>
      <c r="E268" s="1" t="s">
        <v>37</v>
      </c>
      <c r="F268" s="1" t="s">
        <v>361</v>
      </c>
      <c r="G268" s="1" t="s">
        <v>36</v>
      </c>
      <c r="H268" s="1" t="s">
        <v>91</v>
      </c>
      <c r="I268" s="1" t="s">
        <v>716</v>
      </c>
      <c r="Q268" s="2" t="s">
        <v>765</v>
      </c>
      <c r="S268" s="2" t="s">
        <v>1271</v>
      </c>
      <c r="T268" s="2" t="s">
        <v>1271</v>
      </c>
      <c r="V268" s="1" t="s">
        <v>283</v>
      </c>
      <c r="X268" s="1" t="s">
        <v>1266</v>
      </c>
      <c r="Y268" s="1" t="s">
        <v>190</v>
      </c>
      <c r="AB268" s="1" t="s">
        <v>45</v>
      </c>
      <c r="AC268" s="1" t="s">
        <v>45</v>
      </c>
      <c r="AE268" s="1" t="s">
        <v>45</v>
      </c>
    </row>
    <row r="269" customFormat="false" ht="13.8" hidden="false" customHeight="false" outlineLevel="0" collapsed="false">
      <c r="A269" s="1" t="s">
        <v>1272</v>
      </c>
      <c r="B269" s="1" t="s">
        <v>1273</v>
      </c>
      <c r="D269" s="1" t="s">
        <v>34</v>
      </c>
      <c r="E269" s="1" t="s">
        <v>35</v>
      </c>
      <c r="F269" s="1" t="s">
        <v>37</v>
      </c>
      <c r="G269" s="1" t="s">
        <v>36</v>
      </c>
      <c r="H269" s="1" t="s">
        <v>38</v>
      </c>
      <c r="I269" s="1" t="s">
        <v>91</v>
      </c>
      <c r="Q269" s="2" t="s">
        <v>1032</v>
      </c>
      <c r="S269" s="2" t="s">
        <v>1274</v>
      </c>
      <c r="T269" s="2" t="s">
        <v>1275</v>
      </c>
      <c r="V269" s="1" t="s">
        <v>454</v>
      </c>
      <c r="X269" s="1" t="s">
        <v>1266</v>
      </c>
      <c r="Y269" s="1" t="s">
        <v>1266</v>
      </c>
      <c r="AB269" s="1" t="s">
        <v>45</v>
      </c>
      <c r="AC269" s="1" t="s">
        <v>45</v>
      </c>
      <c r="AE269" s="1" t="s">
        <v>45</v>
      </c>
    </row>
    <row r="270" customFormat="false" ht="13.8" hidden="false" customHeight="false" outlineLevel="0" collapsed="false">
      <c r="A270" s="1" t="s">
        <v>1276</v>
      </c>
      <c r="B270" s="1" t="s">
        <v>1277</v>
      </c>
      <c r="D270" s="1" t="s">
        <v>225</v>
      </c>
      <c r="E270" s="1" t="s">
        <v>35</v>
      </c>
      <c r="F270" s="1" t="s">
        <v>81</v>
      </c>
      <c r="G270" s="1" t="s">
        <v>1278</v>
      </c>
      <c r="H270" s="1" t="s">
        <v>38</v>
      </c>
      <c r="I270" s="1" t="s">
        <v>1244</v>
      </c>
      <c r="Q270" s="2" t="s">
        <v>1032</v>
      </c>
      <c r="S270" s="2" t="s">
        <v>1279</v>
      </c>
      <c r="T270" s="2" t="s">
        <v>1279</v>
      </c>
      <c r="U270" s="2" t="s">
        <v>1280</v>
      </c>
      <c r="V270" s="1" t="s">
        <v>283</v>
      </c>
      <c r="X270" s="1" t="s">
        <v>1266</v>
      </c>
      <c r="Y270" s="1" t="s">
        <v>1266</v>
      </c>
      <c r="AB270" s="1" t="s">
        <v>45</v>
      </c>
      <c r="AC270" s="1" t="s">
        <v>45</v>
      </c>
      <c r="AE270" s="1" t="s">
        <v>1281</v>
      </c>
    </row>
    <row r="271" customFormat="false" ht="13.8" hidden="false" customHeight="false" outlineLevel="0" collapsed="false">
      <c r="A271" s="1" t="s">
        <v>1282</v>
      </c>
      <c r="B271" s="1" t="s">
        <v>1283</v>
      </c>
      <c r="D271" s="1" t="s">
        <v>34</v>
      </c>
      <c r="E271" s="1" t="s">
        <v>35</v>
      </c>
      <c r="F271" s="1" t="s">
        <v>525</v>
      </c>
      <c r="G271" s="1" t="s">
        <v>36</v>
      </c>
      <c r="H271" s="1" t="s">
        <v>38</v>
      </c>
      <c r="I271" s="1" t="s">
        <v>1284</v>
      </c>
      <c r="Q271" s="2" t="s">
        <v>778</v>
      </c>
      <c r="S271" s="2" t="s">
        <v>1275</v>
      </c>
      <c r="T271" s="2" t="s">
        <v>1285</v>
      </c>
      <c r="V271" s="1" t="s">
        <v>261</v>
      </c>
      <c r="X271" s="1" t="s">
        <v>1266</v>
      </c>
      <c r="Y271" s="1" t="s">
        <v>1286</v>
      </c>
      <c r="AB271" s="1" t="s">
        <v>45</v>
      </c>
      <c r="AC271" s="1" t="s">
        <v>45</v>
      </c>
      <c r="AE271" s="1" t="s">
        <v>1287</v>
      </c>
    </row>
    <row r="272" customFormat="false" ht="13.8" hidden="false" customHeight="false" outlineLevel="0" collapsed="false">
      <c r="A272" s="1" t="s">
        <v>1288</v>
      </c>
      <c r="B272" s="1" t="s">
        <v>1289</v>
      </c>
      <c r="D272" s="1" t="s">
        <v>225</v>
      </c>
      <c r="E272" s="1" t="s">
        <v>35</v>
      </c>
      <c r="F272" s="1" t="s">
        <v>81</v>
      </c>
      <c r="G272" s="1" t="s">
        <v>700</v>
      </c>
      <c r="H272" s="1" t="s">
        <v>38</v>
      </c>
      <c r="Q272" s="2" t="s">
        <v>1290</v>
      </c>
      <c r="S272" s="2" t="s">
        <v>1291</v>
      </c>
      <c r="T272" s="2" t="s">
        <v>1292</v>
      </c>
      <c r="V272" s="1" t="s">
        <v>1293</v>
      </c>
      <c r="X272" s="1" t="s">
        <v>1266</v>
      </c>
      <c r="Y272" s="1" t="s">
        <v>1294</v>
      </c>
      <c r="AB272" s="1" t="s">
        <v>45</v>
      </c>
      <c r="AC272" s="1" t="s">
        <v>45</v>
      </c>
      <c r="AE272" s="1" t="s">
        <v>1295</v>
      </c>
    </row>
    <row r="273" customFormat="false" ht="13.8" hidden="false" customHeight="false" outlineLevel="0" collapsed="false">
      <c r="A273" s="1" t="s">
        <v>1296</v>
      </c>
      <c r="B273" s="1" t="s">
        <v>1297</v>
      </c>
      <c r="D273" s="1" t="s">
        <v>1298</v>
      </c>
      <c r="E273" s="1" t="s">
        <v>35</v>
      </c>
      <c r="F273" s="1" t="s">
        <v>81</v>
      </c>
      <c r="G273" s="1" t="s">
        <v>38</v>
      </c>
      <c r="H273" s="1" t="s">
        <v>701</v>
      </c>
      <c r="I273" s="1" t="s">
        <v>477</v>
      </c>
      <c r="J273" s="1" t="s">
        <v>64</v>
      </c>
      <c r="Q273" s="2" t="s">
        <v>1004</v>
      </c>
      <c r="S273" s="2" t="s">
        <v>363</v>
      </c>
      <c r="T273" s="2" t="s">
        <v>1299</v>
      </c>
      <c r="V273" s="1" t="s">
        <v>283</v>
      </c>
      <c r="X273" s="1" t="s">
        <v>1266</v>
      </c>
      <c r="Y273" s="1" t="s">
        <v>1300</v>
      </c>
      <c r="AB273" s="1" t="s">
        <v>45</v>
      </c>
      <c r="AC273" s="1" t="s">
        <v>45</v>
      </c>
      <c r="AE273" s="1" t="s">
        <v>1301</v>
      </c>
      <c r="AG273" s="0" t="n">
        <v>1</v>
      </c>
    </row>
    <row r="274" customFormat="false" ht="13.8" hidden="false" customHeight="false" outlineLevel="0" collapsed="false">
      <c r="A274" s="1" t="s">
        <v>1302</v>
      </c>
      <c r="B274" s="1" t="s">
        <v>1303</v>
      </c>
      <c r="D274" s="1" t="s">
        <v>433</v>
      </c>
      <c r="E274" s="1" t="s">
        <v>74</v>
      </c>
      <c r="F274" s="1" t="s">
        <v>38</v>
      </c>
      <c r="Q274" s="2" t="s">
        <v>1304</v>
      </c>
      <c r="S274" s="2" t="s">
        <v>1305</v>
      </c>
      <c r="T274" s="2" t="s">
        <v>779</v>
      </c>
      <c r="V274" s="1" t="s">
        <v>283</v>
      </c>
      <c r="X274" s="1" t="s">
        <v>1266</v>
      </c>
      <c r="Y274" s="1" t="s">
        <v>1266</v>
      </c>
      <c r="AB274" s="1" t="s">
        <v>45</v>
      </c>
      <c r="AC274" s="1" t="s">
        <v>45</v>
      </c>
    </row>
    <row r="275" customFormat="false" ht="13.8" hidden="false" customHeight="false" outlineLevel="0" collapsed="false">
      <c r="A275" s="1" t="s">
        <v>1306</v>
      </c>
      <c r="B275" s="1" t="s">
        <v>1307</v>
      </c>
      <c r="D275" s="1" t="s">
        <v>78</v>
      </c>
      <c r="E275" s="1" t="s">
        <v>35</v>
      </c>
      <c r="F275" s="1" t="s">
        <v>80</v>
      </c>
      <c r="G275" s="1" t="s">
        <v>79</v>
      </c>
      <c r="H275" s="1" t="s">
        <v>477</v>
      </c>
      <c r="I275" s="1" t="s">
        <v>38</v>
      </c>
      <c r="Q275" s="2" t="s">
        <v>1308</v>
      </c>
      <c r="S275" s="2" t="s">
        <v>362</v>
      </c>
      <c r="T275" s="2" t="s">
        <v>1309</v>
      </c>
      <c r="V275" s="1" t="s">
        <v>543</v>
      </c>
      <c r="X275" s="1" t="s">
        <v>1266</v>
      </c>
      <c r="Y275" s="1" t="s">
        <v>1310</v>
      </c>
      <c r="AB275" s="1" t="s">
        <v>45</v>
      </c>
      <c r="AC275" s="1" t="s">
        <v>45</v>
      </c>
      <c r="AE275" s="1" t="s">
        <v>1311</v>
      </c>
    </row>
    <row r="276" customFormat="false" ht="13.8" hidden="false" customHeight="false" outlineLevel="0" collapsed="false">
      <c r="A276" s="1" t="s">
        <v>1312</v>
      </c>
      <c r="B276" s="1" t="s">
        <v>1313</v>
      </c>
      <c r="D276" s="1" t="s">
        <v>63</v>
      </c>
      <c r="E276" s="1" t="s">
        <v>35</v>
      </c>
      <c r="F276" s="1" t="s">
        <v>66</v>
      </c>
      <c r="G276" s="1" t="s">
        <v>64</v>
      </c>
      <c r="H276" s="1" t="s">
        <v>65</v>
      </c>
      <c r="I276" s="1" t="s">
        <v>38</v>
      </c>
      <c r="Q276" s="2" t="s">
        <v>1086</v>
      </c>
      <c r="S276" s="2" t="s">
        <v>1305</v>
      </c>
      <c r="T276" s="2" t="s">
        <v>779</v>
      </c>
      <c r="V276" s="1" t="s">
        <v>283</v>
      </c>
      <c r="X276" s="1" t="s">
        <v>1266</v>
      </c>
      <c r="Y276" s="1" t="s">
        <v>1314</v>
      </c>
      <c r="AB276" s="1" t="s">
        <v>45</v>
      </c>
      <c r="AC276" s="1" t="s">
        <v>45</v>
      </c>
      <c r="AE276" s="1" t="s">
        <v>1315</v>
      </c>
    </row>
    <row r="277" customFormat="false" ht="13.8" hidden="false" customHeight="false" outlineLevel="0" collapsed="false">
      <c r="A277" s="1" t="s">
        <v>1316</v>
      </c>
      <c r="B277" s="1" t="s">
        <v>1317</v>
      </c>
      <c r="D277" s="1" t="s">
        <v>34</v>
      </c>
      <c r="E277" s="1" t="s">
        <v>81</v>
      </c>
      <c r="F277" s="1" t="s">
        <v>35</v>
      </c>
      <c r="G277" s="1" t="s">
        <v>38</v>
      </c>
      <c r="H277" s="1" t="s">
        <v>36</v>
      </c>
      <c r="I277" s="1" t="s">
        <v>37</v>
      </c>
      <c r="Q277" s="2" t="s">
        <v>69</v>
      </c>
      <c r="S277" s="2" t="s">
        <v>717</v>
      </c>
      <c r="T277" s="2" t="s">
        <v>1318</v>
      </c>
      <c r="V277" s="1" t="s">
        <v>1319</v>
      </c>
      <c r="X277" s="1" t="s">
        <v>1266</v>
      </c>
      <c r="Y277" s="1" t="s">
        <v>1320</v>
      </c>
      <c r="AB277" s="1" t="s">
        <v>45</v>
      </c>
      <c r="AC277" s="1" t="s">
        <v>45</v>
      </c>
      <c r="AE277" s="1" t="s">
        <v>1321</v>
      </c>
    </row>
    <row r="278" customFormat="false" ht="13.8" hidden="false" customHeight="false" outlineLevel="0" collapsed="false">
      <c r="A278" s="1" t="s">
        <v>1322</v>
      </c>
      <c r="B278" s="1" t="s">
        <v>1323</v>
      </c>
      <c r="D278" s="1" t="s">
        <v>78</v>
      </c>
      <c r="E278" s="1" t="s">
        <v>81</v>
      </c>
      <c r="F278" s="1" t="s">
        <v>35</v>
      </c>
      <c r="G278" s="1" t="s">
        <v>38</v>
      </c>
      <c r="H278" s="1" t="s">
        <v>477</v>
      </c>
      <c r="Q278" s="2" t="s">
        <v>793</v>
      </c>
      <c r="S278" s="2" t="s">
        <v>1324</v>
      </c>
      <c r="T278" s="2" t="s">
        <v>1325</v>
      </c>
      <c r="V278" s="1" t="s">
        <v>283</v>
      </c>
      <c r="X278" s="1" t="s">
        <v>1266</v>
      </c>
      <c r="Y278" s="1" t="s">
        <v>1326</v>
      </c>
      <c r="AB278" s="1" t="s">
        <v>45</v>
      </c>
      <c r="AC278" s="1" t="s">
        <v>45</v>
      </c>
      <c r="AE278" s="1" t="s">
        <v>1327</v>
      </c>
    </row>
    <row r="279" customFormat="false" ht="13.8" hidden="false" customHeight="false" outlineLevel="0" collapsed="false">
      <c r="A279" s="1" t="s">
        <v>1328</v>
      </c>
      <c r="B279" s="1" t="s">
        <v>1329</v>
      </c>
      <c r="D279" s="1" t="s">
        <v>462</v>
      </c>
      <c r="E279" s="1" t="s">
        <v>193</v>
      </c>
      <c r="F279" s="1" t="s">
        <v>93</v>
      </c>
      <c r="G279" s="1" t="s">
        <v>38</v>
      </c>
      <c r="Q279" s="2" t="s">
        <v>1330</v>
      </c>
      <c r="S279" s="2" t="s">
        <v>1331</v>
      </c>
      <c r="T279" s="2" t="s">
        <v>1331</v>
      </c>
      <c r="V279" s="1" t="s">
        <v>283</v>
      </c>
      <c r="X279" s="1" t="s">
        <v>1266</v>
      </c>
      <c r="Y279" s="1" t="s">
        <v>1332</v>
      </c>
      <c r="AB279" s="1" t="s">
        <v>45</v>
      </c>
      <c r="AC279" s="1" t="s">
        <v>45</v>
      </c>
    </row>
    <row r="280" customFormat="false" ht="13.8" hidden="false" customHeight="false" outlineLevel="0" collapsed="false">
      <c r="A280" s="1" t="s">
        <v>1333</v>
      </c>
      <c r="B280" s="1" t="s">
        <v>1334</v>
      </c>
      <c r="D280" s="1" t="s">
        <v>452</v>
      </c>
      <c r="E280" s="1" t="s">
        <v>1278</v>
      </c>
      <c r="F280" s="1" t="s">
        <v>79</v>
      </c>
      <c r="G280" s="1" t="s">
        <v>361</v>
      </c>
      <c r="H280" s="1" t="s">
        <v>716</v>
      </c>
      <c r="Q280" s="2" t="s">
        <v>1335</v>
      </c>
      <c r="S280" s="2" t="s">
        <v>1004</v>
      </c>
      <c r="T280" s="2" t="s">
        <v>1004</v>
      </c>
      <c r="V280" s="1" t="s">
        <v>429</v>
      </c>
      <c r="X280" s="1" t="s">
        <v>1266</v>
      </c>
      <c r="Y280" s="1" t="s">
        <v>45</v>
      </c>
      <c r="AB280" s="1" t="s">
        <v>45</v>
      </c>
      <c r="AC280" s="1" t="s">
        <v>45</v>
      </c>
      <c r="AE280" s="1" t="s">
        <v>1336</v>
      </c>
    </row>
    <row r="281" customFormat="false" ht="13.8" hidden="false" customHeight="false" outlineLevel="0" collapsed="false">
      <c r="A281" s="1" t="s">
        <v>1337</v>
      </c>
      <c r="B281" s="1" t="s">
        <v>1338</v>
      </c>
      <c r="D281" s="1" t="s">
        <v>34</v>
      </c>
      <c r="E281" s="1" t="s">
        <v>66</v>
      </c>
      <c r="F281" s="1" t="s">
        <v>701</v>
      </c>
      <c r="G281" s="1" t="s">
        <v>38</v>
      </c>
      <c r="H281" s="1" t="s">
        <v>35</v>
      </c>
      <c r="I281" s="1" t="s">
        <v>36</v>
      </c>
      <c r="Q281" s="2" t="s">
        <v>786</v>
      </c>
      <c r="S281" s="2" t="s">
        <v>55</v>
      </c>
      <c r="T281" s="2" t="s">
        <v>1339</v>
      </c>
      <c r="V281" s="1" t="s">
        <v>1340</v>
      </c>
      <c r="X281" s="1" t="s">
        <v>1266</v>
      </c>
      <c r="Y281" s="1" t="s">
        <v>97</v>
      </c>
      <c r="AB281" s="1" t="s">
        <v>45</v>
      </c>
      <c r="AC281" s="1" t="s">
        <v>45</v>
      </c>
      <c r="AE281" s="1" t="s">
        <v>1341</v>
      </c>
    </row>
    <row r="282" customFormat="false" ht="13.8" hidden="false" customHeight="false" outlineLevel="0" collapsed="false">
      <c r="A282" s="1" t="s">
        <v>1342</v>
      </c>
      <c r="B282" s="1" t="s">
        <v>1343</v>
      </c>
      <c r="D282" s="1" t="s">
        <v>225</v>
      </c>
      <c r="E282" s="1" t="s">
        <v>35</v>
      </c>
      <c r="F282" s="1" t="s">
        <v>66</v>
      </c>
      <c r="G282" s="1" t="s">
        <v>1344</v>
      </c>
      <c r="H282" s="1" t="s">
        <v>65</v>
      </c>
      <c r="I282" s="1" t="s">
        <v>38</v>
      </c>
      <c r="Q282" s="2" t="s">
        <v>1345</v>
      </c>
      <c r="S282" s="2" t="s">
        <v>1054</v>
      </c>
      <c r="T282" s="2" t="s">
        <v>1346</v>
      </c>
      <c r="V282" s="1" t="s">
        <v>429</v>
      </c>
      <c r="X282" s="1" t="s">
        <v>1266</v>
      </c>
      <c r="Y282" s="1" t="s">
        <v>1347</v>
      </c>
      <c r="AB282" s="1" t="s">
        <v>45</v>
      </c>
      <c r="AC282" s="1" t="s">
        <v>45</v>
      </c>
      <c r="AE282" s="1" t="s">
        <v>1348</v>
      </c>
    </row>
    <row r="283" customFormat="false" ht="13.8" hidden="false" customHeight="false" outlineLevel="0" collapsed="false">
      <c r="A283" s="1" t="s">
        <v>1349</v>
      </c>
      <c r="B283" s="1" t="s">
        <v>1350</v>
      </c>
      <c r="D283" s="1" t="s">
        <v>225</v>
      </c>
      <c r="E283" s="1" t="s">
        <v>35</v>
      </c>
      <c r="F283" s="1" t="s">
        <v>521</v>
      </c>
      <c r="G283" s="1" t="s">
        <v>38</v>
      </c>
      <c r="Q283" s="2" t="s">
        <v>1351</v>
      </c>
      <c r="S283" s="2" t="s">
        <v>1352</v>
      </c>
      <c r="T283" s="2" t="s">
        <v>1353</v>
      </c>
      <c r="V283" s="1" t="s">
        <v>117</v>
      </c>
      <c r="X283" s="1" t="s">
        <v>1266</v>
      </c>
      <c r="Y283" s="1" t="s">
        <v>1354</v>
      </c>
      <c r="AB283" s="1" t="s">
        <v>1355</v>
      </c>
      <c r="AC283" s="1" t="s">
        <v>88</v>
      </c>
      <c r="AE283" s="1" t="s">
        <v>1356</v>
      </c>
    </row>
    <row r="284" customFormat="false" ht="13.8" hidden="false" customHeight="false" outlineLevel="0" collapsed="false">
      <c r="A284" s="1" t="s">
        <v>1357</v>
      </c>
      <c r="B284" s="1" t="s">
        <v>1358</v>
      </c>
      <c r="D284" s="1" t="s">
        <v>225</v>
      </c>
      <c r="E284" s="1" t="s">
        <v>66</v>
      </c>
      <c r="F284" s="1" t="s">
        <v>701</v>
      </c>
      <c r="G284" s="1" t="s">
        <v>38</v>
      </c>
      <c r="H284" s="1" t="s">
        <v>35</v>
      </c>
      <c r="Q284" s="2" t="s">
        <v>1351</v>
      </c>
      <c r="S284" s="2" t="s">
        <v>1359</v>
      </c>
      <c r="T284" s="2" t="s">
        <v>1360</v>
      </c>
      <c r="V284" s="1" t="s">
        <v>429</v>
      </c>
      <c r="X284" s="1" t="s">
        <v>1266</v>
      </c>
      <c r="Y284" s="1" t="s">
        <v>1361</v>
      </c>
      <c r="AB284" s="1" t="s">
        <v>59</v>
      </c>
      <c r="AC284" s="1" t="s">
        <v>60</v>
      </c>
      <c r="AE284" s="1" t="s">
        <v>1362</v>
      </c>
    </row>
    <row r="285" customFormat="false" ht="13.8" hidden="false" customHeight="false" outlineLevel="0" collapsed="false">
      <c r="A285" s="1" t="s">
        <v>1363</v>
      </c>
      <c r="B285" s="1" t="s">
        <v>1364</v>
      </c>
      <c r="D285" s="1" t="s">
        <v>225</v>
      </c>
      <c r="E285" s="1" t="s">
        <v>66</v>
      </c>
      <c r="F285" s="1" t="s">
        <v>701</v>
      </c>
      <c r="G285" s="1" t="s">
        <v>38</v>
      </c>
      <c r="H285" s="1" t="s">
        <v>35</v>
      </c>
      <c r="Q285" s="2" t="s">
        <v>1345</v>
      </c>
      <c r="S285" s="2" t="s">
        <v>1360</v>
      </c>
      <c r="T285" s="2" t="s">
        <v>1365</v>
      </c>
      <c r="V285" s="1" t="s">
        <v>429</v>
      </c>
      <c r="X285" s="1" t="s">
        <v>1266</v>
      </c>
      <c r="Y285" s="1" t="s">
        <v>1366</v>
      </c>
      <c r="AB285" s="1" t="s">
        <v>45</v>
      </c>
      <c r="AC285" s="1" t="s">
        <v>45</v>
      </c>
      <c r="AE285" s="1" t="s">
        <v>1367</v>
      </c>
    </row>
    <row r="286" customFormat="false" ht="13.8" hidden="false" customHeight="false" outlineLevel="0" collapsed="false">
      <c r="A286" s="1" t="s">
        <v>1368</v>
      </c>
      <c r="B286" s="1" t="s">
        <v>1369</v>
      </c>
      <c r="D286" s="1" t="s">
        <v>1370</v>
      </c>
      <c r="E286" s="1" t="s">
        <v>64</v>
      </c>
      <c r="F286" s="1" t="s">
        <v>525</v>
      </c>
      <c r="G286" s="1" t="s">
        <v>701</v>
      </c>
      <c r="H286" s="1" t="s">
        <v>38</v>
      </c>
      <c r="I286" s="1" t="s">
        <v>35</v>
      </c>
      <c r="Q286" s="2" t="s">
        <v>1371</v>
      </c>
      <c r="S286" s="2" t="s">
        <v>764</v>
      </c>
      <c r="T286" s="2" t="s">
        <v>1372</v>
      </c>
      <c r="V286" s="1" t="s">
        <v>283</v>
      </c>
      <c r="X286" s="1" t="s">
        <v>1266</v>
      </c>
      <c r="Y286" s="1" t="s">
        <v>1373</v>
      </c>
      <c r="AB286" s="1" t="s">
        <v>45</v>
      </c>
      <c r="AC286" s="1" t="s">
        <v>45</v>
      </c>
      <c r="AE286" s="1" t="s">
        <v>1374</v>
      </c>
    </row>
    <row r="287" customFormat="false" ht="13.8" hidden="false" customHeight="false" outlineLevel="0" collapsed="false">
      <c r="A287" s="1" t="s">
        <v>1375</v>
      </c>
      <c r="B287" s="1" t="s">
        <v>1376</v>
      </c>
      <c r="D287" s="1" t="s">
        <v>225</v>
      </c>
      <c r="E287" s="1" t="s">
        <v>38</v>
      </c>
      <c r="F287" s="1" t="s">
        <v>35</v>
      </c>
      <c r="G287" s="1" t="s">
        <v>181</v>
      </c>
      <c r="Q287" s="2" t="s">
        <v>1377</v>
      </c>
      <c r="S287" s="2" t="s">
        <v>1101</v>
      </c>
      <c r="T287" s="2" t="s">
        <v>1378</v>
      </c>
      <c r="V287" s="1" t="s">
        <v>283</v>
      </c>
      <c r="X287" s="1" t="s">
        <v>1266</v>
      </c>
      <c r="Y287" s="1" t="s">
        <v>190</v>
      </c>
      <c r="AB287" s="1" t="s">
        <v>45</v>
      </c>
      <c r="AC287" s="1" t="s">
        <v>45</v>
      </c>
      <c r="AE287" s="1" t="s">
        <v>1379</v>
      </c>
    </row>
    <row r="288" customFormat="false" ht="13.8" hidden="false" customHeight="false" outlineLevel="0" collapsed="false">
      <c r="A288" s="1" t="s">
        <v>1380</v>
      </c>
      <c r="B288" s="1" t="s">
        <v>1381</v>
      </c>
      <c r="D288" s="1" t="s">
        <v>78</v>
      </c>
      <c r="E288" s="1" t="s">
        <v>81</v>
      </c>
      <c r="F288" s="1" t="s">
        <v>35</v>
      </c>
      <c r="G288" s="1" t="s">
        <v>79</v>
      </c>
      <c r="H288" s="1" t="s">
        <v>477</v>
      </c>
      <c r="I288" s="1" t="s">
        <v>38</v>
      </c>
      <c r="M288" s="1" t="s">
        <v>1382</v>
      </c>
      <c r="Q288" s="2" t="s">
        <v>799</v>
      </c>
      <c r="S288" s="2" t="s">
        <v>793</v>
      </c>
      <c r="T288" s="2" t="s">
        <v>466</v>
      </c>
      <c r="V288" s="1" t="s">
        <v>283</v>
      </c>
      <c r="X288" s="1" t="s">
        <v>1266</v>
      </c>
      <c r="Y288" s="1" t="s">
        <v>1383</v>
      </c>
      <c r="AB288" s="1" t="s">
        <v>1383</v>
      </c>
      <c r="AC288" s="1" t="s">
        <v>60</v>
      </c>
      <c r="AE288" s="1" t="s">
        <v>1384</v>
      </c>
    </row>
    <row r="289" customFormat="false" ht="13.8" hidden="false" customHeight="false" outlineLevel="0" collapsed="false">
      <c r="A289" s="1" t="s">
        <v>1385</v>
      </c>
      <c r="B289" s="1" t="s">
        <v>1386</v>
      </c>
      <c r="D289" s="1" t="s">
        <v>127</v>
      </c>
      <c r="E289" s="1" t="s">
        <v>35</v>
      </c>
      <c r="F289" s="1" t="s">
        <v>128</v>
      </c>
      <c r="G289" s="1" t="s">
        <v>36</v>
      </c>
      <c r="H289" s="1" t="s">
        <v>37</v>
      </c>
      <c r="I289" s="1" t="s">
        <v>38</v>
      </c>
      <c r="Q289" s="2" t="s">
        <v>1387</v>
      </c>
      <c r="S289" s="2" t="s">
        <v>907</v>
      </c>
      <c r="T289" s="2" t="s">
        <v>770</v>
      </c>
      <c r="V289" s="1" t="s">
        <v>1388</v>
      </c>
      <c r="X289" s="1" t="s">
        <v>1266</v>
      </c>
      <c r="Y289" s="1" t="s">
        <v>45</v>
      </c>
      <c r="AB289" s="1" t="s">
        <v>45</v>
      </c>
      <c r="AC289" s="1" t="s">
        <v>45</v>
      </c>
      <c r="AE289" s="1" t="s">
        <v>1389</v>
      </c>
    </row>
    <row r="290" customFormat="false" ht="13.8" hidden="false" customHeight="false" outlineLevel="0" collapsed="false">
      <c r="A290" s="1" t="s">
        <v>1390</v>
      </c>
      <c r="B290" s="1" t="s">
        <v>1391</v>
      </c>
      <c r="D290" s="1" t="s">
        <v>34</v>
      </c>
      <c r="E290" s="1" t="s">
        <v>35</v>
      </c>
      <c r="F290" s="1" t="s">
        <v>1392</v>
      </c>
      <c r="G290" s="1" t="s">
        <v>81</v>
      </c>
      <c r="H290" s="1" t="s">
        <v>36</v>
      </c>
      <c r="Q290" s="2" t="s">
        <v>1393</v>
      </c>
      <c r="S290" s="2" t="s">
        <v>1394</v>
      </c>
      <c r="T290" s="2" t="s">
        <v>907</v>
      </c>
      <c r="V290" s="1" t="s">
        <v>283</v>
      </c>
      <c r="X290" s="1" t="s">
        <v>1266</v>
      </c>
      <c r="Y290" s="1" t="s">
        <v>45</v>
      </c>
      <c r="AB290" s="1" t="s">
        <v>45</v>
      </c>
      <c r="AC290" s="1" t="s">
        <v>45</v>
      </c>
      <c r="AE290" s="1" t="s">
        <v>1395</v>
      </c>
    </row>
    <row r="291" customFormat="false" ht="13.8" hidden="false" customHeight="false" outlineLevel="0" collapsed="false">
      <c r="A291" s="1" t="s">
        <v>1396</v>
      </c>
      <c r="B291" s="1" t="s">
        <v>1397</v>
      </c>
      <c r="D291" s="1" t="s">
        <v>34</v>
      </c>
      <c r="E291" s="1" t="s">
        <v>35</v>
      </c>
      <c r="F291" s="1" t="s">
        <v>66</v>
      </c>
      <c r="G291" s="1" t="s">
        <v>36</v>
      </c>
      <c r="H291" s="1" t="s">
        <v>38</v>
      </c>
      <c r="Q291" s="2" t="s">
        <v>1398</v>
      </c>
      <c r="S291" s="2" t="s">
        <v>1068</v>
      </c>
      <c r="T291" s="2" t="s">
        <v>1399</v>
      </c>
      <c r="V291" s="1" t="s">
        <v>261</v>
      </c>
      <c r="X291" s="1" t="s">
        <v>1266</v>
      </c>
      <c r="Y291" s="1" t="s">
        <v>1400</v>
      </c>
      <c r="AB291" s="1" t="s">
        <v>45</v>
      </c>
      <c r="AC291" s="1" t="s">
        <v>45</v>
      </c>
    </row>
    <row r="292" customFormat="false" ht="13.8" hidden="false" customHeight="false" outlineLevel="0" collapsed="false">
      <c r="A292" s="1" t="s">
        <v>1401</v>
      </c>
      <c r="B292" s="1" t="s">
        <v>1402</v>
      </c>
      <c r="D292" s="1" t="s">
        <v>377</v>
      </c>
      <c r="E292" s="1" t="s">
        <v>79</v>
      </c>
      <c r="F292" s="1" t="s">
        <v>1403</v>
      </c>
      <c r="G292" s="1" t="s">
        <v>1404</v>
      </c>
      <c r="H292" s="1" t="s">
        <v>38</v>
      </c>
      <c r="I292" s="1" t="s">
        <v>378</v>
      </c>
      <c r="M292" s="1" t="s">
        <v>1405</v>
      </c>
      <c r="N292" s="1" t="s">
        <v>1406</v>
      </c>
      <c r="Q292" s="2" t="s">
        <v>1407</v>
      </c>
      <c r="S292" s="2" t="s">
        <v>1408</v>
      </c>
      <c r="T292" s="2" t="s">
        <v>1324</v>
      </c>
      <c r="V292" s="1" t="s">
        <v>283</v>
      </c>
      <c r="X292" s="1" t="s">
        <v>1266</v>
      </c>
      <c r="Y292" s="1" t="s">
        <v>190</v>
      </c>
      <c r="AB292" s="1" t="s">
        <v>59</v>
      </c>
      <c r="AC292" s="1" t="s">
        <v>60</v>
      </c>
    </row>
    <row r="293" customFormat="false" ht="13.8" hidden="false" customHeight="false" outlineLevel="0" collapsed="false">
      <c r="A293" s="1" t="s">
        <v>1409</v>
      </c>
      <c r="B293" s="1" t="s">
        <v>1410</v>
      </c>
      <c r="D293" s="1" t="s">
        <v>78</v>
      </c>
      <c r="E293" s="1" t="s">
        <v>38</v>
      </c>
      <c r="F293" s="1" t="s">
        <v>477</v>
      </c>
      <c r="G293" s="1" t="s">
        <v>35</v>
      </c>
      <c r="H293" s="1" t="s">
        <v>79</v>
      </c>
      <c r="I293" s="1" t="s">
        <v>80</v>
      </c>
      <c r="Q293" s="2" t="s">
        <v>1152</v>
      </c>
      <c r="S293" s="2" t="s">
        <v>1411</v>
      </c>
      <c r="T293" s="2" t="s">
        <v>1412</v>
      </c>
      <c r="V293" s="1" t="s">
        <v>283</v>
      </c>
      <c r="X293" s="1" t="s">
        <v>1266</v>
      </c>
      <c r="Y293" s="1" t="s">
        <v>1413</v>
      </c>
      <c r="AB293" s="1" t="s">
        <v>45</v>
      </c>
      <c r="AC293" s="1" t="s">
        <v>45</v>
      </c>
      <c r="AE293" s="1" t="s">
        <v>1414</v>
      </c>
    </row>
    <row r="294" customFormat="false" ht="13.8" hidden="false" customHeight="false" outlineLevel="0" collapsed="false">
      <c r="A294" s="1" t="s">
        <v>1415</v>
      </c>
      <c r="B294" s="1" t="s">
        <v>1416</v>
      </c>
      <c r="D294" s="1" t="s">
        <v>225</v>
      </c>
      <c r="E294" s="1" t="s">
        <v>38</v>
      </c>
      <c r="F294" s="1" t="s">
        <v>81</v>
      </c>
      <c r="G294" s="1" t="s">
        <v>477</v>
      </c>
      <c r="H294" s="1" t="s">
        <v>35</v>
      </c>
      <c r="I294" s="1" t="s">
        <v>101</v>
      </c>
      <c r="Q294" s="2" t="s">
        <v>804</v>
      </c>
      <c r="S294" s="2" t="s">
        <v>1417</v>
      </c>
      <c r="T294" s="2" t="s">
        <v>703</v>
      </c>
      <c r="V294" s="1" t="s">
        <v>261</v>
      </c>
      <c r="X294" s="1" t="s">
        <v>1266</v>
      </c>
      <c r="Y294" s="1" t="s">
        <v>1418</v>
      </c>
      <c r="AB294" s="1" t="s">
        <v>45</v>
      </c>
      <c r="AC294" s="1" t="s">
        <v>45</v>
      </c>
      <c r="AE294" s="1" t="s">
        <v>1419</v>
      </c>
    </row>
    <row r="295" customFormat="false" ht="13.8" hidden="false" customHeight="false" outlineLevel="0" collapsed="false">
      <c r="A295" s="1" t="s">
        <v>1420</v>
      </c>
      <c r="B295" s="1" t="s">
        <v>1421</v>
      </c>
      <c r="D295" s="1" t="s">
        <v>452</v>
      </c>
      <c r="E295" s="1" t="s">
        <v>361</v>
      </c>
      <c r="F295" s="1" t="s">
        <v>716</v>
      </c>
      <c r="Q295" s="2" t="s">
        <v>804</v>
      </c>
      <c r="S295" s="2" t="s">
        <v>1422</v>
      </c>
      <c r="T295" s="2" t="s">
        <v>791</v>
      </c>
      <c r="V295" s="1" t="s">
        <v>794</v>
      </c>
      <c r="X295" s="1" t="s">
        <v>1266</v>
      </c>
      <c r="Y295" s="1" t="s">
        <v>1266</v>
      </c>
      <c r="AB295" s="1" t="s">
        <v>45</v>
      </c>
      <c r="AC295" s="1" t="s">
        <v>45</v>
      </c>
      <c r="AE295" s="1" t="s">
        <v>1423</v>
      </c>
    </row>
    <row r="296" customFormat="false" ht="13.8" hidden="false" customHeight="false" outlineLevel="0" collapsed="false">
      <c r="A296" s="1" t="s">
        <v>1424</v>
      </c>
      <c r="B296" s="1" t="s">
        <v>1425</v>
      </c>
      <c r="D296" s="1" t="s">
        <v>225</v>
      </c>
      <c r="E296" s="1" t="s">
        <v>701</v>
      </c>
      <c r="F296" s="1" t="s">
        <v>1426</v>
      </c>
      <c r="G296" s="1" t="s">
        <v>35</v>
      </c>
      <c r="H296" s="1" t="s">
        <v>38</v>
      </c>
      <c r="I296" s="1" t="s">
        <v>81</v>
      </c>
      <c r="Q296" s="2" t="s">
        <v>926</v>
      </c>
      <c r="S296" s="2" t="s">
        <v>1427</v>
      </c>
      <c r="T296" s="2" t="s">
        <v>67</v>
      </c>
      <c r="V296" s="1" t="s">
        <v>283</v>
      </c>
      <c r="X296" s="1" t="s">
        <v>1266</v>
      </c>
      <c r="Y296" s="1" t="s">
        <v>1428</v>
      </c>
      <c r="AB296" s="1" t="s">
        <v>45</v>
      </c>
      <c r="AC296" s="1" t="s">
        <v>45</v>
      </c>
      <c r="AE296" s="1" t="s">
        <v>1429</v>
      </c>
    </row>
    <row r="297" customFormat="false" ht="13.8" hidden="false" customHeight="false" outlineLevel="0" collapsed="false">
      <c r="A297" s="1" t="s">
        <v>1430</v>
      </c>
      <c r="B297" s="1" t="s">
        <v>1431</v>
      </c>
      <c r="D297" s="1" t="s">
        <v>78</v>
      </c>
      <c r="E297" s="1" t="s">
        <v>79</v>
      </c>
      <c r="F297" s="1" t="s">
        <v>35</v>
      </c>
      <c r="G297" s="1" t="s">
        <v>38</v>
      </c>
      <c r="H297" s="1" t="s">
        <v>66</v>
      </c>
      <c r="Q297" s="2" t="s">
        <v>411</v>
      </c>
      <c r="S297" s="2" t="s">
        <v>1432</v>
      </c>
      <c r="T297" s="2" t="s">
        <v>899</v>
      </c>
      <c r="V297" s="1" t="s">
        <v>283</v>
      </c>
      <c r="X297" s="1" t="s">
        <v>1266</v>
      </c>
      <c r="Y297" s="1" t="s">
        <v>1433</v>
      </c>
      <c r="AB297" s="1" t="s">
        <v>513</v>
      </c>
      <c r="AC297" s="1" t="s">
        <v>60</v>
      </c>
      <c r="AE297" s="1" t="s">
        <v>1434</v>
      </c>
    </row>
    <row r="298" customFormat="false" ht="13.8" hidden="false" customHeight="false" outlineLevel="0" collapsed="false">
      <c r="A298" s="1" t="s">
        <v>1435</v>
      </c>
      <c r="B298" s="1" t="s">
        <v>1436</v>
      </c>
      <c r="D298" s="1" t="s">
        <v>1437</v>
      </c>
      <c r="E298" s="1" t="s">
        <v>64</v>
      </c>
      <c r="F298" s="1" t="s">
        <v>80</v>
      </c>
      <c r="M298" s="1" t="s">
        <v>1438</v>
      </c>
      <c r="Q298" s="2" t="s">
        <v>411</v>
      </c>
      <c r="S298" s="2" t="s">
        <v>918</v>
      </c>
      <c r="T298" s="2" t="s">
        <v>1439</v>
      </c>
      <c r="V298" s="1" t="s">
        <v>45</v>
      </c>
      <c r="X298" s="1" t="s">
        <v>1266</v>
      </c>
      <c r="Y298" s="1" t="s">
        <v>1440</v>
      </c>
      <c r="AB298" s="1" t="s">
        <v>979</v>
      </c>
      <c r="AC298" s="1" t="s">
        <v>60</v>
      </c>
      <c r="AE298" s="1" t="s">
        <v>1441</v>
      </c>
    </row>
    <row r="299" customFormat="false" ht="13.8" hidden="false" customHeight="false" outlineLevel="0" collapsed="false">
      <c r="A299" s="1" t="s">
        <v>1442</v>
      </c>
      <c r="B299" s="1" t="s">
        <v>1443</v>
      </c>
      <c r="D299" s="1" t="s">
        <v>78</v>
      </c>
      <c r="E299" s="1" t="s">
        <v>79</v>
      </c>
      <c r="F299" s="1" t="s">
        <v>36</v>
      </c>
      <c r="G299" s="1" t="s">
        <v>35</v>
      </c>
      <c r="H299" s="1" t="s">
        <v>101</v>
      </c>
      <c r="I299" s="1" t="s">
        <v>1284</v>
      </c>
      <c r="Q299" s="2" t="s">
        <v>576</v>
      </c>
      <c r="S299" s="2" t="s">
        <v>1245</v>
      </c>
      <c r="T299" s="2" t="s">
        <v>1444</v>
      </c>
      <c r="V299" s="1" t="s">
        <v>283</v>
      </c>
      <c r="X299" s="1" t="s">
        <v>1266</v>
      </c>
      <c r="Y299" s="1" t="s">
        <v>1445</v>
      </c>
      <c r="AB299" s="1" t="s">
        <v>45</v>
      </c>
      <c r="AC299" s="1" t="s">
        <v>45</v>
      </c>
      <c r="AE299" s="1" t="s">
        <v>1446</v>
      </c>
    </row>
    <row r="300" customFormat="false" ht="13.8" hidden="false" customHeight="false" outlineLevel="0" collapsed="false">
      <c r="A300" s="1" t="s">
        <v>1447</v>
      </c>
      <c r="B300" s="1" t="s">
        <v>1448</v>
      </c>
      <c r="D300" s="1" t="s">
        <v>78</v>
      </c>
      <c r="E300" s="1" t="s">
        <v>35</v>
      </c>
      <c r="F300" s="1" t="s">
        <v>79</v>
      </c>
      <c r="G300" s="1" t="s">
        <v>38</v>
      </c>
      <c r="H300" s="1" t="s">
        <v>81</v>
      </c>
      <c r="Q300" s="2" t="s">
        <v>1449</v>
      </c>
      <c r="S300" s="2" t="s">
        <v>1417</v>
      </c>
      <c r="T300" s="2" t="s">
        <v>703</v>
      </c>
      <c r="V300" s="1" t="s">
        <v>454</v>
      </c>
      <c r="X300" s="1" t="s">
        <v>1266</v>
      </c>
      <c r="Y300" s="1" t="s">
        <v>190</v>
      </c>
      <c r="AB300" s="1" t="s">
        <v>45</v>
      </c>
      <c r="AC300" s="1" t="s">
        <v>45</v>
      </c>
      <c r="AE300" s="1" t="s">
        <v>1450</v>
      </c>
    </row>
    <row r="301" customFormat="false" ht="13.8" hidden="false" customHeight="false" outlineLevel="0" collapsed="false">
      <c r="A301" s="1" t="s">
        <v>1451</v>
      </c>
      <c r="B301" s="1" t="s">
        <v>1452</v>
      </c>
      <c r="D301" s="1" t="s">
        <v>78</v>
      </c>
      <c r="E301" s="1" t="s">
        <v>784</v>
      </c>
      <c r="F301" s="1" t="s">
        <v>79</v>
      </c>
      <c r="G301" s="1" t="s">
        <v>38</v>
      </c>
      <c r="H301" s="1" t="s">
        <v>80</v>
      </c>
      <c r="Q301" s="2" t="s">
        <v>1449</v>
      </c>
      <c r="S301" s="2" t="s">
        <v>1453</v>
      </c>
      <c r="T301" s="2" t="s">
        <v>785</v>
      </c>
      <c r="V301" s="1" t="s">
        <v>283</v>
      </c>
      <c r="X301" s="1" t="s">
        <v>1266</v>
      </c>
      <c r="Y301" s="1" t="s">
        <v>1433</v>
      </c>
      <c r="AB301" s="1" t="s">
        <v>45</v>
      </c>
      <c r="AC301" s="1" t="s">
        <v>45</v>
      </c>
      <c r="AE301" s="1" t="s">
        <v>1454</v>
      </c>
    </row>
    <row r="302" customFormat="false" ht="13.8" hidden="false" customHeight="false" outlineLevel="0" collapsed="false">
      <c r="A302" s="1" t="s">
        <v>1455</v>
      </c>
      <c r="B302" s="1" t="s">
        <v>1456</v>
      </c>
      <c r="D302" s="1" t="s">
        <v>78</v>
      </c>
      <c r="E302" s="1" t="s">
        <v>79</v>
      </c>
      <c r="F302" s="1" t="s">
        <v>36</v>
      </c>
      <c r="G302" s="1" t="s">
        <v>525</v>
      </c>
      <c r="H302" s="1" t="s">
        <v>701</v>
      </c>
      <c r="I302" s="1" t="s">
        <v>1002</v>
      </c>
      <c r="M302" s="1" t="s">
        <v>1457</v>
      </c>
      <c r="Q302" s="2" t="s">
        <v>102</v>
      </c>
      <c r="S302" s="2" t="s">
        <v>1458</v>
      </c>
      <c r="T302" s="2" t="s">
        <v>103</v>
      </c>
      <c r="V302" s="1" t="s">
        <v>429</v>
      </c>
      <c r="X302" s="1" t="s">
        <v>1266</v>
      </c>
      <c r="Y302" s="1" t="s">
        <v>1118</v>
      </c>
      <c r="AB302" s="1" t="s">
        <v>45</v>
      </c>
      <c r="AC302" s="1" t="s">
        <v>45</v>
      </c>
      <c r="AE302" s="1" t="s">
        <v>1459</v>
      </c>
    </row>
    <row r="303" customFormat="false" ht="13.8" hidden="false" customHeight="false" outlineLevel="0" collapsed="false">
      <c r="A303" s="1" t="s">
        <v>1460</v>
      </c>
      <c r="B303" s="1" t="s">
        <v>1461</v>
      </c>
      <c r="D303" s="1" t="s">
        <v>225</v>
      </c>
      <c r="E303" s="1" t="s">
        <v>35</v>
      </c>
      <c r="F303" s="1" t="s">
        <v>81</v>
      </c>
      <c r="G303" s="1" t="s">
        <v>1278</v>
      </c>
      <c r="H303" s="1" t="s">
        <v>38</v>
      </c>
      <c r="I303" s="1" t="s">
        <v>1244</v>
      </c>
      <c r="Q303" s="2" t="s">
        <v>1462</v>
      </c>
      <c r="S303" s="2" t="s">
        <v>116</v>
      </c>
      <c r="T303" s="2" t="s">
        <v>116</v>
      </c>
      <c r="V303" s="1" t="s">
        <v>283</v>
      </c>
      <c r="X303" s="1" t="s">
        <v>1266</v>
      </c>
      <c r="Y303" s="1" t="s">
        <v>1266</v>
      </c>
      <c r="AB303" s="1" t="s">
        <v>45</v>
      </c>
      <c r="AC303" s="1" t="s">
        <v>45</v>
      </c>
      <c r="AE303" s="1" t="s">
        <v>1463</v>
      </c>
    </row>
    <row r="304" customFormat="false" ht="13.8" hidden="false" customHeight="false" outlineLevel="0" collapsed="false">
      <c r="A304" s="1" t="s">
        <v>1464</v>
      </c>
      <c r="B304" s="1" t="s">
        <v>1465</v>
      </c>
      <c r="D304" s="1" t="s">
        <v>63</v>
      </c>
      <c r="E304" s="1" t="s">
        <v>64</v>
      </c>
      <c r="F304" s="1" t="s">
        <v>65</v>
      </c>
      <c r="G304" s="1" t="s">
        <v>81</v>
      </c>
      <c r="H304" s="1" t="s">
        <v>38</v>
      </c>
      <c r="I304" s="1" t="s">
        <v>35</v>
      </c>
      <c r="J304" s="1" t="s">
        <v>1284</v>
      </c>
      <c r="Q304" s="2" t="s">
        <v>1466</v>
      </c>
      <c r="S304" s="2" t="s">
        <v>502</v>
      </c>
      <c r="T304" s="2" t="s">
        <v>1467</v>
      </c>
      <c r="V304" s="1" t="s">
        <v>1340</v>
      </c>
      <c r="X304" s="1" t="s">
        <v>1266</v>
      </c>
      <c r="Y304" s="1" t="s">
        <v>1320</v>
      </c>
      <c r="AB304" s="1" t="s">
        <v>45</v>
      </c>
      <c r="AC304" s="1" t="s">
        <v>45</v>
      </c>
      <c r="AE304" s="1" t="s">
        <v>1468</v>
      </c>
    </row>
    <row r="305" customFormat="false" ht="13.8" hidden="false" customHeight="false" outlineLevel="0" collapsed="false">
      <c r="A305" s="1" t="s">
        <v>1469</v>
      </c>
      <c r="B305" s="1" t="s">
        <v>1470</v>
      </c>
      <c r="D305" s="1" t="s">
        <v>63</v>
      </c>
      <c r="E305" s="1" t="s">
        <v>64</v>
      </c>
      <c r="F305" s="1" t="s">
        <v>65</v>
      </c>
      <c r="G305" s="1" t="s">
        <v>66</v>
      </c>
      <c r="H305" s="1" t="s">
        <v>38</v>
      </c>
      <c r="I305" s="1" t="s">
        <v>35</v>
      </c>
      <c r="J305" s="1" t="s">
        <v>477</v>
      </c>
      <c r="Q305" s="2" t="s">
        <v>1471</v>
      </c>
      <c r="S305" s="2" t="s">
        <v>804</v>
      </c>
      <c r="T305" s="2" t="s">
        <v>1472</v>
      </c>
      <c r="V305" s="1" t="s">
        <v>261</v>
      </c>
      <c r="X305" s="1" t="s">
        <v>1266</v>
      </c>
      <c r="Y305" s="1" t="s">
        <v>1473</v>
      </c>
      <c r="AB305" s="1" t="s">
        <v>45</v>
      </c>
      <c r="AC305" s="1" t="s">
        <v>45</v>
      </c>
      <c r="AE305" s="1" t="s">
        <v>1474</v>
      </c>
    </row>
    <row r="306" customFormat="false" ht="13.8" hidden="false" customHeight="false" outlineLevel="0" collapsed="false">
      <c r="A306" s="1" t="s">
        <v>1475</v>
      </c>
      <c r="B306" s="1" t="s">
        <v>1476</v>
      </c>
      <c r="D306" s="1" t="s">
        <v>225</v>
      </c>
      <c r="E306" s="1" t="s">
        <v>81</v>
      </c>
      <c r="F306" s="1" t="s">
        <v>38</v>
      </c>
      <c r="G306" s="1" t="s">
        <v>35</v>
      </c>
      <c r="H306" s="1" t="s">
        <v>477</v>
      </c>
      <c r="I306" s="1" t="s">
        <v>701</v>
      </c>
      <c r="Q306" s="2" t="s">
        <v>115</v>
      </c>
      <c r="S306" s="2" t="s">
        <v>481</v>
      </c>
      <c r="T306" s="2" t="s">
        <v>1477</v>
      </c>
      <c r="V306" s="1" t="s">
        <v>429</v>
      </c>
      <c r="X306" s="1" t="s">
        <v>1266</v>
      </c>
      <c r="Y306" s="1" t="s">
        <v>1478</v>
      </c>
      <c r="AB306" s="1" t="s">
        <v>45</v>
      </c>
      <c r="AC306" s="1" t="s">
        <v>45</v>
      </c>
      <c r="AE306" s="1" t="s">
        <v>1479</v>
      </c>
    </row>
    <row r="307" customFormat="false" ht="13.8" hidden="false" customHeight="false" outlineLevel="0" collapsed="false">
      <c r="A307" s="1" t="s">
        <v>1480</v>
      </c>
      <c r="B307" s="1" t="s">
        <v>1481</v>
      </c>
      <c r="D307" s="1" t="s">
        <v>127</v>
      </c>
      <c r="E307" s="1" t="s">
        <v>128</v>
      </c>
      <c r="F307" s="1" t="s">
        <v>35</v>
      </c>
      <c r="G307" s="1" t="s">
        <v>38</v>
      </c>
      <c r="H307" s="1" t="s">
        <v>81</v>
      </c>
      <c r="Q307" s="2" t="s">
        <v>517</v>
      </c>
      <c r="S307" s="2" t="s">
        <v>1482</v>
      </c>
      <c r="T307" s="2" t="s">
        <v>1483</v>
      </c>
      <c r="V307" s="1" t="s">
        <v>283</v>
      </c>
      <c r="X307" s="1" t="s">
        <v>1266</v>
      </c>
      <c r="Y307" s="1" t="s">
        <v>1484</v>
      </c>
      <c r="AB307" s="1" t="s">
        <v>45</v>
      </c>
      <c r="AC307" s="1" t="s">
        <v>45</v>
      </c>
      <c r="AE307" s="1" t="s">
        <v>1485</v>
      </c>
    </row>
    <row r="308" customFormat="false" ht="13.8" hidden="false" customHeight="false" outlineLevel="0" collapsed="false">
      <c r="A308" s="1" t="s">
        <v>1486</v>
      </c>
      <c r="B308" s="1" t="s">
        <v>1487</v>
      </c>
      <c r="D308" s="1" t="s">
        <v>78</v>
      </c>
      <c r="E308" s="1" t="s">
        <v>79</v>
      </c>
      <c r="F308" s="1" t="s">
        <v>35</v>
      </c>
      <c r="G308" s="1" t="s">
        <v>38</v>
      </c>
      <c r="H308" s="1" t="s">
        <v>36</v>
      </c>
      <c r="I308" s="1" t="s">
        <v>37</v>
      </c>
      <c r="Q308" s="2" t="s">
        <v>1488</v>
      </c>
      <c r="S308" s="2" t="s">
        <v>1136</v>
      </c>
      <c r="T308" s="2" t="s">
        <v>702</v>
      </c>
      <c r="V308" s="1" t="s">
        <v>283</v>
      </c>
      <c r="X308" s="1" t="s">
        <v>1266</v>
      </c>
      <c r="Y308" s="1" t="s">
        <v>1266</v>
      </c>
      <c r="AB308" s="1" t="s">
        <v>45</v>
      </c>
      <c r="AC308" s="1" t="s">
        <v>45</v>
      </c>
      <c r="AE308" s="1" t="s">
        <v>1489</v>
      </c>
    </row>
    <row r="309" customFormat="false" ht="13.8" hidden="false" customHeight="false" outlineLevel="0" collapsed="false">
      <c r="A309" s="1" t="s">
        <v>1490</v>
      </c>
      <c r="B309" s="1" t="s">
        <v>1491</v>
      </c>
      <c r="D309" s="1" t="s">
        <v>78</v>
      </c>
      <c r="E309" s="1" t="s">
        <v>79</v>
      </c>
      <c r="F309" s="1" t="s">
        <v>35</v>
      </c>
      <c r="G309" s="1" t="s">
        <v>38</v>
      </c>
      <c r="Q309" s="2" t="s">
        <v>1492</v>
      </c>
      <c r="S309" s="2" t="s">
        <v>1493</v>
      </c>
      <c r="T309" s="2" t="s">
        <v>1494</v>
      </c>
      <c r="V309" s="1" t="s">
        <v>429</v>
      </c>
      <c r="X309" s="1" t="s">
        <v>1266</v>
      </c>
      <c r="Y309" s="1" t="s">
        <v>45</v>
      </c>
      <c r="AB309" s="1" t="s">
        <v>45</v>
      </c>
      <c r="AC309" s="1" t="s">
        <v>45</v>
      </c>
      <c r="AE309" s="1" t="s">
        <v>1495</v>
      </c>
    </row>
    <row r="310" customFormat="false" ht="13.8" hidden="false" customHeight="false" outlineLevel="0" collapsed="false">
      <c r="A310" s="1" t="s">
        <v>1496</v>
      </c>
      <c r="B310" s="1" t="s">
        <v>1497</v>
      </c>
      <c r="D310" s="1" t="s">
        <v>51</v>
      </c>
      <c r="E310" s="1" t="s">
        <v>52</v>
      </c>
      <c r="F310" s="1" t="s">
        <v>153</v>
      </c>
      <c r="G310" s="1" t="s">
        <v>696</v>
      </c>
      <c r="H310" s="1" t="s">
        <v>38</v>
      </c>
      <c r="Q310" s="2" t="s">
        <v>1498</v>
      </c>
      <c r="S310" s="2" t="s">
        <v>1493</v>
      </c>
      <c r="T310" s="2" t="s">
        <v>1493</v>
      </c>
      <c r="V310" s="1" t="s">
        <v>1340</v>
      </c>
      <c r="X310" s="1" t="s">
        <v>1266</v>
      </c>
      <c r="Y310" s="1" t="s">
        <v>1499</v>
      </c>
      <c r="AB310" s="1" t="s">
        <v>45</v>
      </c>
      <c r="AC310" s="1" t="s">
        <v>45</v>
      </c>
    </row>
    <row r="311" customFormat="false" ht="13.8" hidden="false" customHeight="false" outlineLevel="0" collapsed="false">
      <c r="A311" s="1" t="s">
        <v>1500</v>
      </c>
      <c r="B311" s="1" t="s">
        <v>1501</v>
      </c>
      <c r="D311" s="1" t="s">
        <v>225</v>
      </c>
      <c r="E311" s="1" t="s">
        <v>701</v>
      </c>
      <c r="F311" s="1" t="s">
        <v>38</v>
      </c>
      <c r="G311" s="1" t="s">
        <v>35</v>
      </c>
      <c r="H311" s="1" t="s">
        <v>64</v>
      </c>
      <c r="I311" s="1" t="s">
        <v>65</v>
      </c>
      <c r="Q311" s="2" t="s">
        <v>1502</v>
      </c>
      <c r="S311" s="2" t="s">
        <v>1503</v>
      </c>
      <c r="T311" s="2" t="s">
        <v>526</v>
      </c>
      <c r="V311" s="1" t="s">
        <v>283</v>
      </c>
      <c r="X311" s="1" t="s">
        <v>1266</v>
      </c>
      <c r="Y311" s="1" t="s">
        <v>1504</v>
      </c>
      <c r="AB311" s="1" t="s">
        <v>45</v>
      </c>
      <c r="AC311" s="1" t="s">
        <v>45</v>
      </c>
      <c r="AE311" s="1" t="s">
        <v>1505</v>
      </c>
    </row>
    <row r="312" customFormat="false" ht="13.8" hidden="false" customHeight="false" outlineLevel="0" collapsed="false">
      <c r="A312" s="1" t="s">
        <v>1506</v>
      </c>
      <c r="B312" s="1" t="s">
        <v>1507</v>
      </c>
      <c r="D312" s="1" t="s">
        <v>63</v>
      </c>
      <c r="E312" s="1" t="s">
        <v>100</v>
      </c>
      <c r="F312" s="1" t="s">
        <v>38</v>
      </c>
      <c r="G312" s="1" t="s">
        <v>35</v>
      </c>
      <c r="H312" s="1" t="s">
        <v>64</v>
      </c>
      <c r="I312" s="1" t="s">
        <v>65</v>
      </c>
      <c r="Q312" s="2" t="s">
        <v>808</v>
      </c>
      <c r="S312" s="2" t="s">
        <v>517</v>
      </c>
      <c r="T312" s="2" t="s">
        <v>518</v>
      </c>
      <c r="V312" s="1" t="s">
        <v>261</v>
      </c>
      <c r="X312" s="1" t="s">
        <v>1266</v>
      </c>
      <c r="Y312" s="1" t="s">
        <v>1508</v>
      </c>
      <c r="AB312" s="1" t="s">
        <v>45</v>
      </c>
      <c r="AC312" s="1" t="s">
        <v>45</v>
      </c>
    </row>
    <row r="313" customFormat="false" ht="13.8" hidden="false" customHeight="false" outlineLevel="0" collapsed="false">
      <c r="A313" s="1" t="s">
        <v>1509</v>
      </c>
      <c r="B313" s="1" t="s">
        <v>1510</v>
      </c>
      <c r="D313" s="1" t="s">
        <v>225</v>
      </c>
      <c r="E313" s="1" t="s">
        <v>1284</v>
      </c>
      <c r="F313" s="1" t="s">
        <v>38</v>
      </c>
      <c r="G313" s="1" t="s">
        <v>35</v>
      </c>
      <c r="H313" s="1" t="s">
        <v>1511</v>
      </c>
      <c r="Q313" s="2" t="s">
        <v>808</v>
      </c>
      <c r="S313" s="2" t="s">
        <v>517</v>
      </c>
      <c r="T313" s="2" t="s">
        <v>518</v>
      </c>
      <c r="V313" s="1" t="s">
        <v>1340</v>
      </c>
      <c r="X313" s="1" t="s">
        <v>1266</v>
      </c>
      <c r="Y313" s="1" t="s">
        <v>1512</v>
      </c>
      <c r="AB313" s="1" t="s">
        <v>45</v>
      </c>
      <c r="AC313" s="1" t="s">
        <v>45</v>
      </c>
    </row>
    <row r="314" customFormat="false" ht="13.8" hidden="false" customHeight="false" outlineLevel="0" collapsed="false">
      <c r="A314" s="1" t="s">
        <v>1513</v>
      </c>
      <c r="B314" s="1" t="s">
        <v>1514</v>
      </c>
      <c r="D314" s="1" t="s">
        <v>433</v>
      </c>
      <c r="E314" s="1" t="s">
        <v>74</v>
      </c>
      <c r="F314" s="1" t="s">
        <v>38</v>
      </c>
      <c r="Q314" s="2" t="s">
        <v>1515</v>
      </c>
      <c r="S314" s="2" t="s">
        <v>516</v>
      </c>
      <c r="T314" s="2" t="s">
        <v>1516</v>
      </c>
      <c r="V314" s="1" t="s">
        <v>283</v>
      </c>
      <c r="X314" s="1" t="s">
        <v>1266</v>
      </c>
      <c r="Y314" s="1" t="s">
        <v>1266</v>
      </c>
      <c r="AB314" s="1" t="s">
        <v>45</v>
      </c>
      <c r="AC314" s="1" t="s">
        <v>45</v>
      </c>
    </row>
    <row r="315" customFormat="false" ht="13.8" hidden="false" customHeight="false" outlineLevel="0" collapsed="false">
      <c r="A315" s="1" t="s">
        <v>1517</v>
      </c>
      <c r="B315" s="1" t="s">
        <v>1518</v>
      </c>
      <c r="D315" s="1" t="s">
        <v>78</v>
      </c>
      <c r="E315" s="1" t="s">
        <v>35</v>
      </c>
      <c r="F315" s="1" t="s">
        <v>79</v>
      </c>
      <c r="G315" s="1" t="s">
        <v>477</v>
      </c>
      <c r="H315" s="1" t="s">
        <v>38</v>
      </c>
      <c r="I315" s="1" t="s">
        <v>81</v>
      </c>
      <c r="Q315" s="2" t="s">
        <v>1519</v>
      </c>
      <c r="S315" s="2" t="s">
        <v>1085</v>
      </c>
      <c r="T315" s="2" t="s">
        <v>1520</v>
      </c>
      <c r="V315" s="1" t="s">
        <v>283</v>
      </c>
      <c r="X315" s="1" t="s">
        <v>1266</v>
      </c>
      <c r="Y315" s="1" t="s">
        <v>1383</v>
      </c>
      <c r="AB315" s="1" t="s">
        <v>45</v>
      </c>
      <c r="AC315" s="1" t="s">
        <v>45</v>
      </c>
    </row>
    <row r="316" customFormat="false" ht="13.8" hidden="false" customHeight="false" outlineLevel="0" collapsed="false">
      <c r="A316" s="1" t="s">
        <v>1521</v>
      </c>
      <c r="B316" s="1" t="s">
        <v>1522</v>
      </c>
      <c r="D316" s="1" t="s">
        <v>78</v>
      </c>
      <c r="E316" s="1" t="s">
        <v>35</v>
      </c>
      <c r="F316" s="1" t="s">
        <v>79</v>
      </c>
      <c r="G316" s="1" t="s">
        <v>64</v>
      </c>
      <c r="H316" s="1" t="s">
        <v>38</v>
      </c>
      <c r="I316" s="1" t="s">
        <v>81</v>
      </c>
      <c r="Q316" s="2" t="s">
        <v>1523</v>
      </c>
      <c r="S316" s="2" t="s">
        <v>1524</v>
      </c>
      <c r="T316" s="2" t="s">
        <v>1148</v>
      </c>
      <c r="V316" s="1" t="s">
        <v>429</v>
      </c>
      <c r="X316" s="1" t="s">
        <v>1266</v>
      </c>
      <c r="Y316" s="1" t="s">
        <v>1525</v>
      </c>
      <c r="AB316" s="1" t="s">
        <v>45</v>
      </c>
      <c r="AC316" s="1" t="s">
        <v>45</v>
      </c>
    </row>
    <row r="317" customFormat="false" ht="13.8" hidden="false" customHeight="false" outlineLevel="0" collapsed="false">
      <c r="A317" s="1" t="s">
        <v>1526</v>
      </c>
      <c r="B317" s="1" t="s">
        <v>1527</v>
      </c>
      <c r="D317" s="1" t="s">
        <v>51</v>
      </c>
      <c r="E317" s="1" t="s">
        <v>696</v>
      </c>
      <c r="F317" s="1" t="s">
        <v>52</v>
      </c>
      <c r="G317" s="1" t="s">
        <v>75</v>
      </c>
      <c r="H317" s="1" t="s">
        <v>38</v>
      </c>
      <c r="Q317" s="2" t="s">
        <v>1528</v>
      </c>
      <c r="S317" s="2" t="s">
        <v>1529</v>
      </c>
      <c r="T317" s="2" t="s">
        <v>1530</v>
      </c>
      <c r="V317" s="1" t="s">
        <v>117</v>
      </c>
      <c r="X317" s="1" t="s">
        <v>1266</v>
      </c>
      <c r="Y317" s="1" t="s">
        <v>1266</v>
      </c>
      <c r="AB317" s="1" t="s">
        <v>45</v>
      </c>
      <c r="AC317" s="1" t="s">
        <v>45</v>
      </c>
    </row>
    <row r="318" customFormat="false" ht="13.8" hidden="false" customHeight="false" outlineLevel="0" collapsed="false">
      <c r="A318" s="1" t="s">
        <v>1531</v>
      </c>
      <c r="B318" s="1" t="s">
        <v>1532</v>
      </c>
      <c r="D318" s="1" t="s">
        <v>78</v>
      </c>
      <c r="E318" s="1" t="s">
        <v>701</v>
      </c>
      <c r="F318" s="1" t="s">
        <v>80</v>
      </c>
      <c r="G318" s="1" t="s">
        <v>35</v>
      </c>
      <c r="H318" s="1" t="s">
        <v>79</v>
      </c>
      <c r="I318" s="1" t="s">
        <v>38</v>
      </c>
      <c r="Q318" s="2" t="s">
        <v>1533</v>
      </c>
      <c r="S318" s="2" t="s">
        <v>1534</v>
      </c>
      <c r="T318" s="2" t="s">
        <v>1535</v>
      </c>
      <c r="V318" s="1" t="s">
        <v>42</v>
      </c>
      <c r="X318" s="1" t="s">
        <v>1266</v>
      </c>
      <c r="Y318" s="1" t="s">
        <v>1536</v>
      </c>
      <c r="AB318" s="1" t="s">
        <v>45</v>
      </c>
      <c r="AC318" s="1" t="s">
        <v>45</v>
      </c>
    </row>
    <row r="319" customFormat="false" ht="13.8" hidden="false" customHeight="false" outlineLevel="0" collapsed="false">
      <c r="A319" s="1" t="s">
        <v>1537</v>
      </c>
      <c r="B319" s="1" t="s">
        <v>1538</v>
      </c>
      <c r="D319" s="1" t="s">
        <v>225</v>
      </c>
      <c r="E319" s="1" t="s">
        <v>100</v>
      </c>
      <c r="F319" s="1" t="s">
        <v>38</v>
      </c>
      <c r="G319" s="1" t="s">
        <v>35</v>
      </c>
      <c r="H319" s="1" t="s">
        <v>64</v>
      </c>
      <c r="I319" s="1" t="s">
        <v>65</v>
      </c>
      <c r="Q319" s="2" t="s">
        <v>626</v>
      </c>
      <c r="S319" s="2" t="s">
        <v>1539</v>
      </c>
      <c r="T319" s="2" t="s">
        <v>593</v>
      </c>
      <c r="V319" s="1" t="s">
        <v>332</v>
      </c>
      <c r="X319" s="1" t="s">
        <v>1266</v>
      </c>
      <c r="Y319" s="1" t="s">
        <v>1540</v>
      </c>
      <c r="AB319" s="1" t="s">
        <v>45</v>
      </c>
      <c r="AC319" s="1" t="s">
        <v>45</v>
      </c>
    </row>
    <row r="320" customFormat="false" ht="13.8" hidden="false" customHeight="false" outlineLevel="0" collapsed="false">
      <c r="A320" s="1" t="s">
        <v>1541</v>
      </c>
      <c r="B320" s="1" t="s">
        <v>1542</v>
      </c>
      <c r="D320" s="1" t="s">
        <v>225</v>
      </c>
      <c r="E320" s="1" t="s">
        <v>35</v>
      </c>
      <c r="F320" s="1" t="s">
        <v>81</v>
      </c>
      <c r="G320" s="1" t="s">
        <v>1278</v>
      </c>
      <c r="H320" s="1" t="s">
        <v>38</v>
      </c>
      <c r="I320" s="1" t="s">
        <v>1244</v>
      </c>
      <c r="T320" s="2" t="s">
        <v>1543</v>
      </c>
      <c r="V320" s="1" t="s">
        <v>42</v>
      </c>
      <c r="X320" s="1" t="s">
        <v>1266</v>
      </c>
      <c r="Y320" s="1" t="s">
        <v>1266</v>
      </c>
      <c r="AB320" s="1" t="s">
        <v>45</v>
      </c>
      <c r="AC320" s="1" t="s">
        <v>45</v>
      </c>
    </row>
    <row r="321" customFormat="false" ht="13.8" hidden="false" customHeight="false" outlineLevel="0" collapsed="false">
      <c r="A321" s="1" t="s">
        <v>1544</v>
      </c>
      <c r="B321" s="1" t="s">
        <v>1545</v>
      </c>
      <c r="D321" s="1" t="s">
        <v>225</v>
      </c>
      <c r="E321" s="1" t="s">
        <v>35</v>
      </c>
      <c r="F321" s="1" t="s">
        <v>81</v>
      </c>
      <c r="G321" s="1" t="s">
        <v>1278</v>
      </c>
      <c r="H321" s="1" t="s">
        <v>38</v>
      </c>
      <c r="I321" s="1" t="s">
        <v>1244</v>
      </c>
      <c r="T321" s="2" t="s">
        <v>1546</v>
      </c>
      <c r="V321" s="1" t="s">
        <v>42</v>
      </c>
      <c r="X321" s="1" t="s">
        <v>1266</v>
      </c>
      <c r="Y321" s="1" t="s">
        <v>1266</v>
      </c>
      <c r="AB321" s="1" t="s">
        <v>45</v>
      </c>
      <c r="AC321" s="1" t="s">
        <v>45</v>
      </c>
    </row>
    <row r="322" customFormat="false" ht="13.8" hidden="false" customHeight="false" outlineLevel="0" collapsed="false">
      <c r="A322" s="1" t="s">
        <v>1547</v>
      </c>
      <c r="B322" s="1" t="s">
        <v>1548</v>
      </c>
      <c r="D322" s="1" t="s">
        <v>78</v>
      </c>
      <c r="E322" s="1" t="s">
        <v>35</v>
      </c>
      <c r="F322" s="1" t="s">
        <v>66</v>
      </c>
      <c r="G322" s="1" t="s">
        <v>79</v>
      </c>
      <c r="H322" s="1" t="s">
        <v>38</v>
      </c>
      <c r="Q322" s="2" t="s">
        <v>1549</v>
      </c>
      <c r="T322" s="2" t="s">
        <v>1550</v>
      </c>
      <c r="V322" s="1" t="s">
        <v>48</v>
      </c>
      <c r="X322" s="1" t="s">
        <v>1266</v>
      </c>
      <c r="Y322" s="1" t="s">
        <v>190</v>
      </c>
      <c r="AB322" s="1" t="s">
        <v>513</v>
      </c>
      <c r="AC322" s="1" t="s">
        <v>142</v>
      </c>
    </row>
    <row r="323" customFormat="false" ht="13.8" hidden="false" customHeight="false" outlineLevel="0" collapsed="false">
      <c r="A323" s="1" t="s">
        <v>1551</v>
      </c>
      <c r="B323" s="1" t="s">
        <v>1552</v>
      </c>
      <c r="D323" s="1" t="s">
        <v>225</v>
      </c>
      <c r="E323" s="1" t="s">
        <v>701</v>
      </c>
      <c r="F323" s="1" t="s">
        <v>64</v>
      </c>
      <c r="G323" s="1" t="s">
        <v>81</v>
      </c>
      <c r="H323" s="1" t="s">
        <v>38</v>
      </c>
      <c r="I323" s="1" t="s">
        <v>35</v>
      </c>
      <c r="Q323" s="2" t="s">
        <v>1553</v>
      </c>
      <c r="S323" s="2" t="s">
        <v>1554</v>
      </c>
      <c r="T323" s="2" t="s">
        <v>1325</v>
      </c>
      <c r="V323" s="1" t="s">
        <v>42</v>
      </c>
      <c r="X323" s="1" t="s">
        <v>1266</v>
      </c>
      <c r="Y323" s="1" t="s">
        <v>1555</v>
      </c>
      <c r="AB323" s="1" t="s">
        <v>45</v>
      </c>
      <c r="AC323" s="1" t="s">
        <v>45</v>
      </c>
    </row>
    <row r="324" customFormat="false" ht="13.8" hidden="false" customHeight="false" outlineLevel="0" collapsed="false">
      <c r="A324" s="1" t="s">
        <v>1556</v>
      </c>
      <c r="B324" s="1" t="s">
        <v>1557</v>
      </c>
      <c r="D324" s="1" t="s">
        <v>452</v>
      </c>
      <c r="E324" s="1" t="s">
        <v>361</v>
      </c>
      <c r="F324" s="1" t="s">
        <v>716</v>
      </c>
      <c r="Q324" s="2" t="s">
        <v>1211</v>
      </c>
      <c r="S324" s="2" t="s">
        <v>1558</v>
      </c>
      <c r="T324" s="2" t="s">
        <v>1558</v>
      </c>
      <c r="V324" s="1" t="s">
        <v>429</v>
      </c>
      <c r="X324" s="1" t="s">
        <v>1266</v>
      </c>
      <c r="Y324" s="1" t="s">
        <v>1525</v>
      </c>
      <c r="AB324" s="1" t="s">
        <v>45</v>
      </c>
      <c r="AC324" s="1" t="s">
        <v>45</v>
      </c>
    </row>
    <row r="325" customFormat="false" ht="13.8" hidden="false" customHeight="false" outlineLevel="0" collapsed="false">
      <c r="A325" s="1" t="s">
        <v>1559</v>
      </c>
      <c r="B325" s="1" t="s">
        <v>1560</v>
      </c>
      <c r="D325" s="1" t="s">
        <v>225</v>
      </c>
      <c r="E325" s="1" t="s">
        <v>701</v>
      </c>
      <c r="F325" s="1" t="s">
        <v>35</v>
      </c>
      <c r="G325" s="1" t="s">
        <v>66</v>
      </c>
      <c r="H325" s="1" t="s">
        <v>38</v>
      </c>
      <c r="Q325" s="2" t="s">
        <v>1561</v>
      </c>
      <c r="S325" s="2" t="s">
        <v>1554</v>
      </c>
      <c r="T325" s="2" t="s">
        <v>1325</v>
      </c>
      <c r="V325" s="1" t="s">
        <v>42</v>
      </c>
      <c r="X325" s="1" t="s">
        <v>1266</v>
      </c>
      <c r="Y325" s="1" t="s">
        <v>1562</v>
      </c>
      <c r="AB325" s="1" t="s">
        <v>45</v>
      </c>
      <c r="AC325" s="1" t="s">
        <v>45</v>
      </c>
    </row>
    <row r="326" customFormat="false" ht="13.8" hidden="false" customHeight="false" outlineLevel="0" collapsed="false">
      <c r="A326" s="1" t="s">
        <v>1563</v>
      </c>
      <c r="B326" s="1" t="s">
        <v>1564</v>
      </c>
      <c r="D326" s="1" t="s">
        <v>34</v>
      </c>
      <c r="E326" s="1" t="s">
        <v>36</v>
      </c>
      <c r="F326" s="1" t="s">
        <v>66</v>
      </c>
      <c r="G326" s="1" t="s">
        <v>35</v>
      </c>
      <c r="H326" s="1" t="s">
        <v>38</v>
      </c>
      <c r="Q326" s="2" t="s">
        <v>1565</v>
      </c>
      <c r="S326" s="2" t="s">
        <v>1566</v>
      </c>
      <c r="T326" s="2" t="s">
        <v>1567</v>
      </c>
      <c r="V326" s="1" t="s">
        <v>1340</v>
      </c>
      <c r="X326" s="1" t="s">
        <v>1266</v>
      </c>
      <c r="Y326" s="1" t="s">
        <v>1568</v>
      </c>
      <c r="AB326" s="1" t="s">
        <v>45</v>
      </c>
      <c r="AC326" s="1" t="s">
        <v>45</v>
      </c>
    </row>
    <row r="327" customFormat="false" ht="13.8" hidden="false" customHeight="false" outlineLevel="0" collapsed="false">
      <c r="A327" s="1" t="s">
        <v>1569</v>
      </c>
      <c r="B327" s="1" t="s">
        <v>1570</v>
      </c>
      <c r="D327" s="1" t="s">
        <v>452</v>
      </c>
      <c r="E327" s="1" t="s">
        <v>716</v>
      </c>
      <c r="F327" s="1" t="s">
        <v>361</v>
      </c>
      <c r="T327" s="2" t="s">
        <v>1571</v>
      </c>
      <c r="V327" s="1" t="s">
        <v>332</v>
      </c>
      <c r="X327" s="1" t="s">
        <v>1266</v>
      </c>
      <c r="Y327" s="1" t="s">
        <v>1266</v>
      </c>
      <c r="AB327" s="1" t="s">
        <v>45</v>
      </c>
      <c r="AC327" s="1" t="s">
        <v>45</v>
      </c>
    </row>
    <row r="328" customFormat="false" ht="13.8" hidden="false" customHeight="false" outlineLevel="0" collapsed="false">
      <c r="A328" s="1" t="s">
        <v>1220</v>
      </c>
      <c r="B328" s="1" t="s">
        <v>1572</v>
      </c>
      <c r="D328" s="1" t="s">
        <v>225</v>
      </c>
      <c r="E328" s="1" t="s">
        <v>701</v>
      </c>
      <c r="F328" s="1" t="s">
        <v>35</v>
      </c>
      <c r="G328" s="1" t="s">
        <v>38</v>
      </c>
      <c r="M328" s="1" t="s">
        <v>1573</v>
      </c>
      <c r="T328" s="2" t="s">
        <v>1574</v>
      </c>
      <c r="V328" s="1" t="s">
        <v>42</v>
      </c>
      <c r="X328" s="1" t="s">
        <v>1266</v>
      </c>
      <c r="Y328" s="1" t="s">
        <v>1575</v>
      </c>
      <c r="AB328" s="1" t="s">
        <v>59</v>
      </c>
      <c r="AC328" s="1" t="s">
        <v>142</v>
      </c>
    </row>
    <row r="329" customFormat="false" ht="13.8" hidden="false" customHeight="false" outlineLevel="0" collapsed="false">
      <c r="A329" s="1" t="s">
        <v>1576</v>
      </c>
      <c r="B329" s="1" t="s">
        <v>1577</v>
      </c>
      <c r="D329" s="1" t="s">
        <v>452</v>
      </c>
      <c r="E329" s="1" t="s">
        <v>716</v>
      </c>
      <c r="F329" s="1" t="s">
        <v>361</v>
      </c>
      <c r="G329" s="1" t="s">
        <v>1278</v>
      </c>
      <c r="T329" s="2" t="s">
        <v>1578</v>
      </c>
      <c r="V329" s="1" t="s">
        <v>283</v>
      </c>
      <c r="X329" s="1" t="s">
        <v>1266</v>
      </c>
      <c r="Y329" s="1" t="s">
        <v>1579</v>
      </c>
      <c r="AB329" s="1" t="s">
        <v>45</v>
      </c>
      <c r="AC329" s="1" t="s">
        <v>45</v>
      </c>
    </row>
    <row r="330" customFormat="false" ht="13.8" hidden="false" customHeight="false" outlineLevel="0" collapsed="false">
      <c r="A330" s="1" t="s">
        <v>1580</v>
      </c>
      <c r="B330" s="1" t="s">
        <v>1581</v>
      </c>
      <c r="D330" s="1" t="s">
        <v>78</v>
      </c>
      <c r="E330" s="1" t="s">
        <v>79</v>
      </c>
      <c r="F330" s="1" t="s">
        <v>80</v>
      </c>
      <c r="G330" s="1" t="s">
        <v>35</v>
      </c>
      <c r="H330" s="1" t="s">
        <v>701</v>
      </c>
      <c r="I330" s="1" t="s">
        <v>38</v>
      </c>
      <c r="T330" s="2" t="s">
        <v>1582</v>
      </c>
      <c r="V330" s="1" t="s">
        <v>261</v>
      </c>
      <c r="X330" s="1" t="s">
        <v>1266</v>
      </c>
      <c r="Y330" s="1" t="s">
        <v>1583</v>
      </c>
      <c r="AB330" s="1" t="s">
        <v>45</v>
      </c>
      <c r="AC330" s="1" t="s">
        <v>45</v>
      </c>
    </row>
    <row r="331" customFormat="false" ht="13.8" hidden="false" customHeight="false" outlineLevel="0" collapsed="false">
      <c r="A331" s="1" t="s">
        <v>1584</v>
      </c>
      <c r="B331" s="1" t="s">
        <v>1585</v>
      </c>
      <c r="D331" s="1" t="s">
        <v>953</v>
      </c>
      <c r="E331" s="1" t="s">
        <v>193</v>
      </c>
      <c r="T331" s="2" t="s">
        <v>1582</v>
      </c>
      <c r="V331" s="1" t="s">
        <v>42</v>
      </c>
      <c r="X331" s="1" t="s">
        <v>1266</v>
      </c>
      <c r="Y331" s="1" t="s">
        <v>1332</v>
      </c>
      <c r="AB331" s="1" t="s">
        <v>45</v>
      </c>
      <c r="AC331" s="1" t="s">
        <v>45</v>
      </c>
    </row>
    <row r="332" customFormat="false" ht="13.8" hidden="false" customHeight="false" outlineLevel="0" collapsed="false">
      <c r="A332" s="1" t="s">
        <v>1586</v>
      </c>
      <c r="B332" s="1" t="s">
        <v>1587</v>
      </c>
      <c r="D332" s="1" t="s">
        <v>78</v>
      </c>
      <c r="E332" s="1" t="s">
        <v>79</v>
      </c>
      <c r="F332" s="1" t="s">
        <v>113</v>
      </c>
      <c r="Q332" s="1" t="s">
        <v>45</v>
      </c>
      <c r="T332" s="2" t="s">
        <v>1211</v>
      </c>
      <c r="V332" s="1" t="s">
        <v>283</v>
      </c>
      <c r="X332" s="1" t="s">
        <v>1266</v>
      </c>
      <c r="Y332" s="1" t="s">
        <v>190</v>
      </c>
      <c r="AB332" s="1" t="s">
        <v>45</v>
      </c>
      <c r="AC332" s="1" t="s">
        <v>45</v>
      </c>
    </row>
    <row r="333" customFormat="false" ht="13.8" hidden="false" customHeight="false" outlineLevel="0" collapsed="false">
      <c r="A333" s="1" t="s">
        <v>1588</v>
      </c>
      <c r="B333" s="1" t="s">
        <v>1589</v>
      </c>
      <c r="D333" s="1" t="s">
        <v>78</v>
      </c>
      <c r="E333" s="1" t="s">
        <v>79</v>
      </c>
      <c r="F333" s="1" t="s">
        <v>35</v>
      </c>
      <c r="G333" s="1" t="s">
        <v>64</v>
      </c>
      <c r="H333" s="1" t="s">
        <v>38</v>
      </c>
      <c r="Q333" s="1" t="s">
        <v>45</v>
      </c>
      <c r="T333" s="2" t="s">
        <v>1590</v>
      </c>
      <c r="V333" s="1" t="s">
        <v>42</v>
      </c>
      <c r="X333" s="1" t="s">
        <v>1266</v>
      </c>
      <c r="Y333" s="1" t="s">
        <v>1591</v>
      </c>
      <c r="AB333" s="1" t="s">
        <v>45</v>
      </c>
      <c r="AC333" s="1" t="s">
        <v>45</v>
      </c>
    </row>
    <row r="334" customFormat="false" ht="13.8" hidden="false" customHeight="false" outlineLevel="0" collapsed="false">
      <c r="A334" s="1" t="s">
        <v>1592</v>
      </c>
      <c r="B334" s="1" t="s">
        <v>1593</v>
      </c>
      <c r="D334" s="1" t="s">
        <v>78</v>
      </c>
      <c r="E334" s="1" t="s">
        <v>701</v>
      </c>
      <c r="F334" s="1" t="s">
        <v>79</v>
      </c>
      <c r="G334" s="1" t="s">
        <v>81</v>
      </c>
      <c r="H334" s="1" t="s">
        <v>35</v>
      </c>
      <c r="I334" s="1" t="s">
        <v>38</v>
      </c>
      <c r="Q334" s="1" t="s">
        <v>45</v>
      </c>
      <c r="T334" s="2" t="s">
        <v>1594</v>
      </c>
      <c r="V334" s="1" t="s">
        <v>332</v>
      </c>
      <c r="X334" s="1" t="s">
        <v>1266</v>
      </c>
      <c r="Y334" s="1" t="s">
        <v>1383</v>
      </c>
      <c r="AB334" s="1" t="s">
        <v>45</v>
      </c>
      <c r="AC334" s="1" t="s">
        <v>45</v>
      </c>
    </row>
    <row r="335" customFormat="false" ht="13.8" hidden="false" customHeight="false" outlineLevel="0" collapsed="false">
      <c r="A335" s="1" t="s">
        <v>1595</v>
      </c>
      <c r="B335" s="1" t="s">
        <v>1596</v>
      </c>
      <c r="D335" s="1" t="s">
        <v>225</v>
      </c>
      <c r="E335" s="1" t="s">
        <v>35</v>
      </c>
      <c r="F335" s="1" t="s">
        <v>100</v>
      </c>
      <c r="G335" s="1" t="s">
        <v>38</v>
      </c>
      <c r="H335" s="1" t="s">
        <v>66</v>
      </c>
      <c r="I335" s="1" t="s">
        <v>64</v>
      </c>
      <c r="Q335" s="1" t="s">
        <v>45</v>
      </c>
      <c r="T335" s="2" t="s">
        <v>1597</v>
      </c>
      <c r="V335" s="1" t="s">
        <v>429</v>
      </c>
      <c r="X335" s="1" t="s">
        <v>1266</v>
      </c>
      <c r="Y335" s="1" t="s">
        <v>1598</v>
      </c>
      <c r="AB335" s="1" t="s">
        <v>45</v>
      </c>
      <c r="AC335" s="1" t="s">
        <v>45</v>
      </c>
    </row>
    <row r="336" customFormat="false" ht="13.8" hidden="false" customHeight="false" outlineLevel="0" collapsed="false">
      <c r="A336" s="1" t="s">
        <v>1599</v>
      </c>
      <c r="B336" s="1" t="s">
        <v>1600</v>
      </c>
      <c r="D336" s="1" t="s">
        <v>225</v>
      </c>
      <c r="Q336" s="1" t="s">
        <v>45</v>
      </c>
      <c r="T336" s="2" t="s">
        <v>1601</v>
      </c>
      <c r="V336" s="1" t="s">
        <v>48</v>
      </c>
      <c r="X336" s="1" t="s">
        <v>1266</v>
      </c>
      <c r="Y336" s="1" t="s">
        <v>190</v>
      </c>
      <c r="AB336" s="1" t="s">
        <v>45</v>
      </c>
      <c r="AC336" s="1" t="s">
        <v>45</v>
      </c>
    </row>
    <row r="337" customFormat="false" ht="13.8" hidden="false" customHeight="false" outlineLevel="0" collapsed="false">
      <c r="A337" s="1" t="s">
        <v>1602</v>
      </c>
      <c r="B337" s="1" t="s">
        <v>1603</v>
      </c>
      <c r="D337" s="1" t="s">
        <v>34</v>
      </c>
      <c r="E337" s="1" t="s">
        <v>36</v>
      </c>
      <c r="F337" s="1" t="s">
        <v>35</v>
      </c>
      <c r="G337" s="1" t="s">
        <v>38</v>
      </c>
      <c r="Q337" s="1" t="s">
        <v>45</v>
      </c>
      <c r="T337" s="2" t="s">
        <v>1604</v>
      </c>
      <c r="V337" s="1" t="s">
        <v>557</v>
      </c>
      <c r="X337" s="1" t="s">
        <v>1266</v>
      </c>
      <c r="Y337" s="1" t="s">
        <v>190</v>
      </c>
      <c r="AB337" s="1" t="s">
        <v>45</v>
      </c>
      <c r="AC337" s="1" t="s">
        <v>45</v>
      </c>
    </row>
    <row r="338" customFormat="false" ht="13.8" hidden="false" customHeight="false" outlineLevel="0" collapsed="false">
      <c r="A338" s="1" t="s">
        <v>1605</v>
      </c>
      <c r="B338" s="1" t="s">
        <v>1606</v>
      </c>
      <c r="D338" s="1" t="s">
        <v>225</v>
      </c>
      <c r="E338" s="1" t="s">
        <v>521</v>
      </c>
      <c r="F338" s="1" t="s">
        <v>790</v>
      </c>
      <c r="G338" s="1" t="s">
        <v>38</v>
      </c>
      <c r="Q338" s="1" t="s">
        <v>45</v>
      </c>
      <c r="T338" s="2" t="s">
        <v>1534</v>
      </c>
      <c r="V338" s="1" t="s">
        <v>42</v>
      </c>
      <c r="X338" s="1" t="s">
        <v>1266</v>
      </c>
      <c r="Y338" s="1" t="s">
        <v>1607</v>
      </c>
      <c r="AB338" s="1" t="s">
        <v>45</v>
      </c>
      <c r="AC338" s="1" t="s">
        <v>45</v>
      </c>
    </row>
    <row r="339" customFormat="false" ht="13.8" hidden="false" customHeight="false" outlineLevel="0" collapsed="false">
      <c r="A339" s="1" t="s">
        <v>1608</v>
      </c>
      <c r="B339" s="1" t="s">
        <v>1609</v>
      </c>
      <c r="D339" s="1" t="s">
        <v>63</v>
      </c>
      <c r="E339" s="1" t="s">
        <v>64</v>
      </c>
      <c r="F339" s="1" t="s">
        <v>65</v>
      </c>
      <c r="G339" s="1" t="s">
        <v>35</v>
      </c>
      <c r="H339" s="1" t="s">
        <v>181</v>
      </c>
      <c r="I339" s="1" t="s">
        <v>700</v>
      </c>
      <c r="Q339" s="1" t="s">
        <v>45</v>
      </c>
      <c r="T339" s="2" t="s">
        <v>669</v>
      </c>
      <c r="V339" s="1" t="s">
        <v>1610</v>
      </c>
      <c r="X339" s="1" t="s">
        <v>1266</v>
      </c>
      <c r="Y339" s="1" t="s">
        <v>1611</v>
      </c>
      <c r="AB339" s="1" t="s">
        <v>45</v>
      </c>
      <c r="AC339" s="1" t="s">
        <v>45</v>
      </c>
    </row>
    <row r="340" customFormat="false" ht="13.8" hidden="false" customHeight="false" outlineLevel="0" collapsed="false">
      <c r="A340" s="1" t="s">
        <v>1612</v>
      </c>
      <c r="B340" s="1" t="s">
        <v>1613</v>
      </c>
      <c r="D340" s="1" t="s">
        <v>34</v>
      </c>
      <c r="E340" s="1" t="s">
        <v>36</v>
      </c>
      <c r="F340" s="1" t="s">
        <v>35</v>
      </c>
      <c r="G340" s="1" t="s">
        <v>66</v>
      </c>
      <c r="H340" s="1" t="s">
        <v>38</v>
      </c>
      <c r="Q340" s="2" t="s">
        <v>826</v>
      </c>
      <c r="T340" s="2" t="s">
        <v>1614</v>
      </c>
      <c r="V340" s="1" t="s">
        <v>42</v>
      </c>
      <c r="X340" s="1" t="s">
        <v>1266</v>
      </c>
      <c r="Y340" s="1" t="s">
        <v>1615</v>
      </c>
      <c r="AB340" s="1" t="s">
        <v>45</v>
      </c>
      <c r="AC340" s="1" t="s">
        <v>45</v>
      </c>
    </row>
    <row r="341" customFormat="false" ht="13.8" hidden="false" customHeight="false" outlineLevel="0" collapsed="false">
      <c r="A341" s="1" t="s">
        <v>1616</v>
      </c>
      <c r="B341" s="1" t="s">
        <v>1617</v>
      </c>
      <c r="D341" s="1" t="s">
        <v>127</v>
      </c>
      <c r="E341" s="1" t="s">
        <v>701</v>
      </c>
      <c r="F341" s="1" t="s">
        <v>128</v>
      </c>
      <c r="G341" s="1" t="s">
        <v>66</v>
      </c>
      <c r="H341" s="1" t="s">
        <v>35</v>
      </c>
      <c r="I341" s="1" t="s">
        <v>38</v>
      </c>
      <c r="Q341" s="1" t="s">
        <v>45</v>
      </c>
      <c r="T341" s="2" t="s">
        <v>1618</v>
      </c>
      <c r="V341" s="1" t="s">
        <v>48</v>
      </c>
      <c r="X341" s="1" t="s">
        <v>1266</v>
      </c>
      <c r="Y341" s="1" t="s">
        <v>1484</v>
      </c>
      <c r="AB341" s="1" t="s">
        <v>45</v>
      </c>
      <c r="AC341" s="1" t="s">
        <v>45</v>
      </c>
      <c r="AG341" s="0" t="n">
        <v>1</v>
      </c>
    </row>
    <row r="342" customFormat="false" ht="13.8" hidden="false" customHeight="false" outlineLevel="0" collapsed="false">
      <c r="A342" s="1" t="s">
        <v>1619</v>
      </c>
      <c r="B342" s="1" t="s">
        <v>1620</v>
      </c>
      <c r="D342" s="1" t="s">
        <v>225</v>
      </c>
      <c r="E342" s="1" t="s">
        <v>100</v>
      </c>
      <c r="F342" s="1" t="s">
        <v>65</v>
      </c>
      <c r="G342" s="1" t="s">
        <v>64</v>
      </c>
      <c r="H342" s="1" t="s">
        <v>35</v>
      </c>
      <c r="I342" s="1" t="s">
        <v>38</v>
      </c>
      <c r="Q342" s="1" t="s">
        <v>45</v>
      </c>
      <c r="T342" s="2" t="s">
        <v>1621</v>
      </c>
      <c r="V342" s="1" t="s">
        <v>283</v>
      </c>
      <c r="X342" s="1" t="s">
        <v>1266</v>
      </c>
      <c r="Y342" s="1" t="s">
        <v>1622</v>
      </c>
      <c r="AB342" s="1" t="s">
        <v>45</v>
      </c>
      <c r="AC342" s="1" t="s">
        <v>45</v>
      </c>
      <c r="AG342" s="0" t="n">
        <v>1</v>
      </c>
    </row>
    <row r="343" customFormat="false" ht="13.8" hidden="false" customHeight="false" outlineLevel="0" collapsed="false">
      <c r="A343" s="1" t="s">
        <v>1623</v>
      </c>
      <c r="B343" s="1" t="s">
        <v>1624</v>
      </c>
      <c r="D343" s="1" t="s">
        <v>78</v>
      </c>
      <c r="E343" s="1" t="s">
        <v>701</v>
      </c>
      <c r="F343" s="1" t="s">
        <v>79</v>
      </c>
      <c r="G343" s="1" t="s">
        <v>35</v>
      </c>
      <c r="H343" s="1" t="s">
        <v>38</v>
      </c>
      <c r="I343" s="1" t="s">
        <v>81</v>
      </c>
      <c r="Q343" s="1" t="s">
        <v>45</v>
      </c>
      <c r="T343" s="2" t="s">
        <v>835</v>
      </c>
      <c r="V343" s="1" t="s">
        <v>42</v>
      </c>
      <c r="X343" s="1" t="s">
        <v>1266</v>
      </c>
      <c r="Y343" s="1" t="s">
        <v>1625</v>
      </c>
      <c r="AB343" s="1" t="s">
        <v>45</v>
      </c>
      <c r="AC343" s="1" t="s">
        <v>45</v>
      </c>
    </row>
    <row r="344" customFormat="false" ht="13.8" hidden="false" customHeight="false" outlineLevel="0" collapsed="false">
      <c r="A344" s="1" t="s">
        <v>1626</v>
      </c>
      <c r="B344" s="1" t="s">
        <v>1627</v>
      </c>
      <c r="D344" s="1" t="s">
        <v>1628</v>
      </c>
      <c r="T344" s="2" t="s">
        <v>1629</v>
      </c>
      <c r="V344" s="1" t="s">
        <v>1630</v>
      </c>
      <c r="X344" s="1" t="s">
        <v>1266</v>
      </c>
      <c r="Y344" s="1" t="s">
        <v>1631</v>
      </c>
    </row>
    <row r="345" customFormat="false" ht="13.8" hidden="false" customHeight="false" outlineLevel="0" collapsed="false">
      <c r="A345" s="1" t="s">
        <v>1632</v>
      </c>
      <c r="B345" s="1" t="s">
        <v>1633</v>
      </c>
      <c r="D345" s="1" t="s">
        <v>452</v>
      </c>
      <c r="T345" s="2" t="s">
        <v>1634</v>
      </c>
      <c r="V345" s="1" t="s">
        <v>42</v>
      </c>
      <c r="X345" s="1" t="s">
        <v>1266</v>
      </c>
      <c r="Y345" s="1" t="s">
        <v>1635</v>
      </c>
    </row>
    <row r="346" customFormat="false" ht="13.8" hidden="false" customHeight="false" outlineLevel="0" collapsed="false">
      <c r="A346" s="1" t="s">
        <v>1636</v>
      </c>
      <c r="B346" s="1" t="s">
        <v>1637</v>
      </c>
      <c r="D346" s="1" t="s">
        <v>783</v>
      </c>
      <c r="T346" s="2" t="s">
        <v>1638</v>
      </c>
      <c r="V346" s="1" t="s">
        <v>42</v>
      </c>
      <c r="X346" s="1" t="s">
        <v>1266</v>
      </c>
      <c r="Y346" s="1" t="s">
        <v>190</v>
      </c>
    </row>
    <row r="347" customFormat="false" ht="13.8" hidden="false" customHeight="false" outlineLevel="0" collapsed="false">
      <c r="A347" s="1" t="s">
        <v>1639</v>
      </c>
      <c r="B347" s="1" t="s">
        <v>1640</v>
      </c>
      <c r="D347" s="1" t="s">
        <v>225</v>
      </c>
      <c r="T347" s="2" t="s">
        <v>1641</v>
      </c>
      <c r="V347" s="1" t="s">
        <v>140</v>
      </c>
      <c r="X347" s="1" t="s">
        <v>1266</v>
      </c>
      <c r="Y347" s="1" t="s">
        <v>1642</v>
      </c>
    </row>
    <row r="348" customFormat="false" ht="13.8" hidden="false" customHeight="false" outlineLevel="0" collapsed="false">
      <c r="A348" s="1" t="s">
        <v>1643</v>
      </c>
      <c r="B348" s="1" t="s">
        <v>1644</v>
      </c>
      <c r="D348" s="1" t="s">
        <v>34</v>
      </c>
      <c r="T348" s="2" t="s">
        <v>1645</v>
      </c>
      <c r="V348" s="1" t="s">
        <v>48</v>
      </c>
      <c r="X348" s="1" t="s">
        <v>1266</v>
      </c>
      <c r="Y348" s="1" t="s">
        <v>1635</v>
      </c>
    </row>
    <row r="349" customFormat="false" ht="13.8" hidden="false" customHeight="false" outlineLevel="0" collapsed="false">
      <c r="A349" s="1" t="s">
        <v>1646</v>
      </c>
      <c r="B349" s="1" t="s">
        <v>1647</v>
      </c>
      <c r="D349" s="1" t="s">
        <v>63</v>
      </c>
      <c r="T349" s="2" t="s">
        <v>1648</v>
      </c>
      <c r="V349" s="1" t="s">
        <v>283</v>
      </c>
      <c r="X349" s="1" t="s">
        <v>1266</v>
      </c>
      <c r="Y349" s="1" t="s">
        <v>1649</v>
      </c>
    </row>
    <row r="350" customFormat="false" ht="13.8" hidden="false" customHeight="false" outlineLevel="0" collapsed="false">
      <c r="A350" s="1" t="s">
        <v>1650</v>
      </c>
      <c r="B350" s="1" t="s">
        <v>1651</v>
      </c>
      <c r="D350" s="1" t="s">
        <v>63</v>
      </c>
      <c r="T350" s="2" t="s">
        <v>1648</v>
      </c>
      <c r="V350" s="1" t="s">
        <v>283</v>
      </c>
      <c r="X350" s="1" t="s">
        <v>1266</v>
      </c>
      <c r="Y350" s="1" t="s">
        <v>1649</v>
      </c>
    </row>
    <row r="351" customFormat="false" ht="13.8" hidden="false" customHeight="false" outlineLevel="0" collapsed="false">
      <c r="A351" s="1" t="s">
        <v>1652</v>
      </c>
      <c r="B351" s="1" t="s">
        <v>1653</v>
      </c>
      <c r="D351" s="1" t="s">
        <v>225</v>
      </c>
      <c r="T351" s="2" t="s">
        <v>308</v>
      </c>
      <c r="V351" s="1" t="s">
        <v>42</v>
      </c>
      <c r="X351" s="1" t="s">
        <v>1266</v>
      </c>
      <c r="Y351" s="1" t="s">
        <v>1654</v>
      </c>
    </row>
    <row r="352" customFormat="false" ht="13.8" hidden="false" customHeight="false" outlineLevel="0" collapsed="false">
      <c r="A352" s="1" t="s">
        <v>1655</v>
      </c>
      <c r="B352" s="1" t="s">
        <v>1656</v>
      </c>
      <c r="D352" s="1" t="s">
        <v>783</v>
      </c>
      <c r="T352" s="2" t="s">
        <v>1657</v>
      </c>
      <c r="V352" s="1" t="s">
        <v>48</v>
      </c>
      <c r="X352" s="1" t="s">
        <v>1266</v>
      </c>
      <c r="Y352" s="1" t="s">
        <v>1266</v>
      </c>
    </row>
    <row r="353" customFormat="false" ht="13.8" hidden="false" customHeight="false" outlineLevel="0" collapsed="false">
      <c r="A353" s="1" t="s">
        <v>1658</v>
      </c>
      <c r="B353" s="1" t="s">
        <v>1659</v>
      </c>
      <c r="D353" s="1" t="s">
        <v>34</v>
      </c>
      <c r="T353" s="2" t="s">
        <v>1660</v>
      </c>
      <c r="V353" s="1" t="s">
        <v>283</v>
      </c>
      <c r="X353" s="1" t="s">
        <v>1266</v>
      </c>
      <c r="Y353" s="1" t="s">
        <v>1661</v>
      </c>
    </row>
    <row r="354" customFormat="false" ht="13.8" hidden="false" customHeight="false" outlineLevel="0" collapsed="false">
      <c r="A354" s="1" t="s">
        <v>1662</v>
      </c>
      <c r="B354" s="1" t="s">
        <v>1663</v>
      </c>
      <c r="D354" s="1" t="s">
        <v>34</v>
      </c>
      <c r="T354" s="2" t="s">
        <v>1664</v>
      </c>
      <c r="V354" s="1" t="s">
        <v>117</v>
      </c>
      <c r="X354" s="1" t="s">
        <v>1266</v>
      </c>
      <c r="Y354" s="1" t="s">
        <v>1266</v>
      </c>
    </row>
    <row r="355" customFormat="false" ht="13.8" hidden="false" customHeight="false" outlineLevel="0" collapsed="false">
      <c r="A355" s="1" t="s">
        <v>1665</v>
      </c>
      <c r="B355" s="1" t="s">
        <v>1666</v>
      </c>
      <c r="D355" s="1" t="s">
        <v>78</v>
      </c>
      <c r="T355" s="2" t="s">
        <v>1667</v>
      </c>
      <c r="V355" s="1" t="s">
        <v>42</v>
      </c>
      <c r="X355" s="1" t="s">
        <v>1266</v>
      </c>
      <c r="Y355" s="1" t="s">
        <v>1668</v>
      </c>
    </row>
    <row r="356" customFormat="false" ht="13.8" hidden="false" customHeight="false" outlineLevel="0" collapsed="false">
      <c r="A356" s="1" t="s">
        <v>1669</v>
      </c>
      <c r="B356" s="1" t="s">
        <v>1670</v>
      </c>
      <c r="D356" s="1" t="s">
        <v>78</v>
      </c>
      <c r="T356" s="2" t="s">
        <v>1671</v>
      </c>
      <c r="V356" s="1" t="s">
        <v>42</v>
      </c>
      <c r="X356" s="1" t="s">
        <v>1266</v>
      </c>
      <c r="Y356" s="1" t="s">
        <v>1672</v>
      </c>
    </row>
    <row r="357" customFormat="false" ht="13.8" hidden="false" customHeight="false" outlineLevel="0" collapsed="false">
      <c r="A357" s="1" t="s">
        <v>1673</v>
      </c>
      <c r="B357" s="1" t="s">
        <v>1674</v>
      </c>
      <c r="D357" s="1" t="s">
        <v>78</v>
      </c>
      <c r="T357" s="2" t="s">
        <v>1675</v>
      </c>
      <c r="V357" s="1" t="s">
        <v>42</v>
      </c>
      <c r="X357" s="1" t="s">
        <v>1266</v>
      </c>
      <c r="Y357" s="1" t="s">
        <v>1676</v>
      </c>
    </row>
    <row r="358" customFormat="false" ht="13.8" hidden="false" customHeight="false" outlineLevel="0" collapsed="false">
      <c r="A358" s="1" t="s">
        <v>1677</v>
      </c>
      <c r="B358" s="1" t="s">
        <v>1678</v>
      </c>
      <c r="D358" s="1" t="s">
        <v>78</v>
      </c>
      <c r="T358" s="2" t="s">
        <v>1679</v>
      </c>
      <c r="V358" s="1" t="s">
        <v>117</v>
      </c>
      <c r="X358" s="1" t="s">
        <v>1266</v>
      </c>
      <c r="Y358" s="1" t="s">
        <v>1680</v>
      </c>
    </row>
    <row r="359" customFormat="false" ht="13.8" hidden="false" customHeight="false" outlineLevel="0" collapsed="false">
      <c r="A359" s="1" t="s">
        <v>1681</v>
      </c>
      <c r="B359" s="1" t="s">
        <v>1682</v>
      </c>
      <c r="D359" s="1" t="s">
        <v>78</v>
      </c>
      <c r="T359" s="2" t="s">
        <v>1683</v>
      </c>
      <c r="V359" s="1" t="s">
        <v>332</v>
      </c>
      <c r="X359" s="1" t="s">
        <v>1266</v>
      </c>
      <c r="Y359" s="1" t="s">
        <v>1684</v>
      </c>
    </row>
    <row r="360" customFormat="false" ht="13.8" hidden="false" customHeight="false" outlineLevel="0" collapsed="false">
      <c r="A360" s="1" t="s">
        <v>1685</v>
      </c>
      <c r="B360" s="1" t="s">
        <v>1686</v>
      </c>
      <c r="D360" s="1" t="s">
        <v>51</v>
      </c>
      <c r="T360" s="2" t="s">
        <v>336</v>
      </c>
      <c r="V360" s="1" t="s">
        <v>172</v>
      </c>
      <c r="X360" s="1" t="s">
        <v>1266</v>
      </c>
      <c r="Y360" s="1" t="s">
        <v>1687</v>
      </c>
    </row>
    <row r="361" customFormat="false" ht="13.8" hidden="false" customHeight="false" outlineLevel="0" collapsed="false">
      <c r="A361" s="1" t="s">
        <v>1688</v>
      </c>
      <c r="B361" s="1" t="s">
        <v>1689</v>
      </c>
      <c r="D361" s="1" t="s">
        <v>127</v>
      </c>
      <c r="T361" s="2" t="s">
        <v>331</v>
      </c>
      <c r="V361" s="1" t="s">
        <v>42</v>
      </c>
      <c r="X361" s="1" t="s">
        <v>1266</v>
      </c>
      <c r="Y361" s="1" t="s">
        <v>1690</v>
      </c>
    </row>
    <row r="362" customFormat="false" ht="13.8" hidden="false" customHeight="false" outlineLevel="0" collapsed="false">
      <c r="A362" s="1" t="s">
        <v>1691</v>
      </c>
      <c r="B362" s="1" t="s">
        <v>1692</v>
      </c>
      <c r="D362" s="1" t="s">
        <v>78</v>
      </c>
      <c r="T362" s="2" t="s">
        <v>1693</v>
      </c>
      <c r="V362" s="1" t="s">
        <v>1340</v>
      </c>
      <c r="X362" s="1" t="s">
        <v>1266</v>
      </c>
      <c r="Y362" s="1" t="s">
        <v>1694</v>
      </c>
    </row>
    <row r="363" customFormat="false" ht="13.8" hidden="false" customHeight="false" outlineLevel="0" collapsed="false">
      <c r="A363" s="1" t="s">
        <v>1695</v>
      </c>
      <c r="B363" s="1" t="s">
        <v>1696</v>
      </c>
      <c r="D363" s="1" t="s">
        <v>78</v>
      </c>
      <c r="T363" s="2" t="s">
        <v>1683</v>
      </c>
      <c r="V363" s="1" t="s">
        <v>42</v>
      </c>
      <c r="X363" s="1" t="s">
        <v>1266</v>
      </c>
      <c r="Y363" s="1" t="s">
        <v>190</v>
      </c>
    </row>
    <row r="364" customFormat="false" ht="13.8" hidden="false" customHeight="false" outlineLevel="0" collapsed="false">
      <c r="A364" s="1" t="s">
        <v>1697</v>
      </c>
      <c r="B364" s="1" t="s">
        <v>1698</v>
      </c>
      <c r="D364" s="1" t="s">
        <v>225</v>
      </c>
      <c r="T364" s="2" t="s">
        <v>1699</v>
      </c>
      <c r="V364" s="1" t="s">
        <v>332</v>
      </c>
      <c r="X364" s="1" t="s">
        <v>1266</v>
      </c>
      <c r="Y364" s="1" t="s">
        <v>1700</v>
      </c>
    </row>
    <row r="365" customFormat="false" ht="13.8" hidden="false" customHeight="false" outlineLevel="0" collapsed="false">
      <c r="A365" s="1" t="s">
        <v>1701</v>
      </c>
      <c r="B365" s="1" t="s">
        <v>1702</v>
      </c>
      <c r="D365" s="1" t="s">
        <v>225</v>
      </c>
      <c r="T365" s="2" t="s">
        <v>1703</v>
      </c>
      <c r="V365" s="1" t="s">
        <v>332</v>
      </c>
      <c r="X365" s="1" t="s">
        <v>1266</v>
      </c>
      <c r="Y365" s="1" t="s">
        <v>1704</v>
      </c>
    </row>
    <row r="366" customFormat="false" ht="13.8" hidden="false" customHeight="false" outlineLevel="0" collapsed="false">
      <c r="A366" s="1" t="s">
        <v>1705</v>
      </c>
      <c r="B366" s="1" t="s">
        <v>1706</v>
      </c>
      <c r="D366" s="1" t="s">
        <v>78</v>
      </c>
      <c r="T366" s="2" t="s">
        <v>1707</v>
      </c>
      <c r="V366" s="1" t="s">
        <v>332</v>
      </c>
      <c r="X366" s="1" t="s">
        <v>1266</v>
      </c>
      <c r="Y366" s="1" t="s">
        <v>1383</v>
      </c>
    </row>
    <row r="367" customFormat="false" ht="13.8" hidden="false" customHeight="false" outlineLevel="0" collapsed="false">
      <c r="A367" s="1" t="s">
        <v>1708</v>
      </c>
      <c r="B367" s="1" t="s">
        <v>1709</v>
      </c>
      <c r="D367" s="1" t="s">
        <v>51</v>
      </c>
      <c r="T367" s="2" t="s">
        <v>1710</v>
      </c>
      <c r="V367" s="1" t="s">
        <v>42</v>
      </c>
      <c r="X367" s="1" t="s">
        <v>1266</v>
      </c>
      <c r="Y367" s="1" t="s">
        <v>1711</v>
      </c>
    </row>
    <row r="368" customFormat="false" ht="13.8" hidden="false" customHeight="false" outlineLevel="0" collapsed="false">
      <c r="A368" s="1" t="s">
        <v>1712</v>
      </c>
      <c r="B368" s="1" t="s">
        <v>1713</v>
      </c>
      <c r="D368" s="1" t="s">
        <v>452</v>
      </c>
      <c r="E368" s="1" t="s">
        <v>361</v>
      </c>
      <c r="F368" s="1" t="s">
        <v>716</v>
      </c>
      <c r="G368" s="1" t="s">
        <v>1278</v>
      </c>
      <c r="T368" s="2" t="s">
        <v>1714</v>
      </c>
      <c r="V368" s="1" t="s">
        <v>429</v>
      </c>
      <c r="X368" s="1" t="s">
        <v>1266</v>
      </c>
      <c r="Y368" s="1" t="s">
        <v>1266</v>
      </c>
    </row>
    <row r="369" customFormat="false" ht="13.8" hidden="false" customHeight="false" outlineLevel="0" collapsed="false">
      <c r="A369" s="1" t="s">
        <v>1715</v>
      </c>
      <c r="B369" s="1" t="s">
        <v>1716</v>
      </c>
      <c r="D369" s="1" t="s">
        <v>452</v>
      </c>
      <c r="T369" s="2" t="s">
        <v>1717</v>
      </c>
      <c r="V369" s="1" t="s">
        <v>1718</v>
      </c>
      <c r="X369" s="1" t="s">
        <v>1266</v>
      </c>
      <c r="Y369" s="1" t="s">
        <v>1719</v>
      </c>
    </row>
    <row r="370" customFormat="false" ht="13.8" hidden="false" customHeight="false" outlineLevel="0" collapsed="false">
      <c r="A370" s="1" t="s">
        <v>1720</v>
      </c>
      <c r="B370" s="1" t="s">
        <v>1721</v>
      </c>
      <c r="D370" s="1" t="s">
        <v>225</v>
      </c>
      <c r="T370" s="2" t="s">
        <v>1714</v>
      </c>
      <c r="V370" s="1" t="s">
        <v>429</v>
      </c>
      <c r="X370" s="1" t="s">
        <v>1266</v>
      </c>
      <c r="Y370" s="1" t="s">
        <v>1722</v>
      </c>
    </row>
    <row r="371" customFormat="false" ht="13.8" hidden="false" customHeight="false" outlineLevel="0" collapsed="false">
      <c r="A371" s="1" t="s">
        <v>1723</v>
      </c>
      <c r="B371" s="1" t="s">
        <v>1724</v>
      </c>
      <c r="D371" s="1" t="s">
        <v>78</v>
      </c>
      <c r="T371" s="2" t="s">
        <v>1725</v>
      </c>
      <c r="V371" s="1" t="s">
        <v>261</v>
      </c>
      <c r="X371" s="1" t="s">
        <v>1266</v>
      </c>
      <c r="Y371" s="1" t="s">
        <v>97</v>
      </c>
    </row>
    <row r="372" customFormat="false" ht="13.8" hidden="false" customHeight="false" outlineLevel="0" collapsed="false">
      <c r="A372" s="1" t="s">
        <v>1726</v>
      </c>
      <c r="B372" s="1" t="s">
        <v>1727</v>
      </c>
      <c r="D372" s="1" t="s">
        <v>127</v>
      </c>
      <c r="T372" s="2" t="s">
        <v>1728</v>
      </c>
      <c r="V372" s="1" t="s">
        <v>117</v>
      </c>
      <c r="X372" s="1" t="s">
        <v>1266</v>
      </c>
      <c r="Y372" s="1" t="s">
        <v>1729</v>
      </c>
      <c r="AG372" s="0" t="n">
        <v>1</v>
      </c>
    </row>
    <row r="373" customFormat="false" ht="13.8" hidden="false" customHeight="false" outlineLevel="0" collapsed="false">
      <c r="A373" s="1" t="s">
        <v>1730</v>
      </c>
      <c r="B373" s="1" t="s">
        <v>1731</v>
      </c>
      <c r="D373" s="1" t="s">
        <v>78</v>
      </c>
      <c r="T373" s="2" t="s">
        <v>1732</v>
      </c>
      <c r="V373" s="1" t="s">
        <v>1733</v>
      </c>
      <c r="X373" s="1" t="s">
        <v>1266</v>
      </c>
      <c r="Y373" s="1" t="s">
        <v>1266</v>
      </c>
    </row>
    <row r="374" customFormat="false" ht="13.8" hidden="false" customHeight="false" outlineLevel="0" collapsed="false">
      <c r="A374" s="1" t="s">
        <v>1734</v>
      </c>
      <c r="B374" s="1" t="s">
        <v>1735</v>
      </c>
      <c r="D374" s="1" t="s">
        <v>63</v>
      </c>
      <c r="T374" s="2" t="s">
        <v>1736</v>
      </c>
      <c r="V374" s="1" t="s">
        <v>429</v>
      </c>
      <c r="X374" s="1" t="s">
        <v>1266</v>
      </c>
      <c r="Y374" s="1" t="s">
        <v>1737</v>
      </c>
    </row>
    <row r="375" customFormat="false" ht="13.8" hidden="false" customHeight="false" outlineLevel="0" collapsed="false">
      <c r="A375" s="1" t="s">
        <v>1738</v>
      </c>
      <c r="B375" s="1" t="s">
        <v>1739</v>
      </c>
      <c r="D375" s="1" t="s">
        <v>783</v>
      </c>
      <c r="T375" s="2" t="s">
        <v>1740</v>
      </c>
      <c r="V375" s="1" t="s">
        <v>332</v>
      </c>
      <c r="X375" s="1" t="s">
        <v>1266</v>
      </c>
      <c r="Y375" s="1" t="s">
        <v>1266</v>
      </c>
    </row>
    <row r="376" customFormat="false" ht="13.8" hidden="false" customHeight="false" outlineLevel="0" collapsed="false">
      <c r="A376" s="1" t="s">
        <v>1741</v>
      </c>
      <c r="B376" s="1" t="s">
        <v>1742</v>
      </c>
      <c r="D376" s="1" t="s">
        <v>78</v>
      </c>
      <c r="T376" s="2" t="s">
        <v>1743</v>
      </c>
      <c r="V376" s="1" t="s">
        <v>1744</v>
      </c>
      <c r="X376" s="1" t="s">
        <v>1266</v>
      </c>
      <c r="Y376" s="1" t="s">
        <v>1745</v>
      </c>
      <c r="AG376" s="0" t="n">
        <v>1</v>
      </c>
    </row>
    <row r="377" customFormat="false" ht="13.8" hidden="false" customHeight="false" outlineLevel="0" collapsed="false">
      <c r="A377" s="1" t="s">
        <v>1746</v>
      </c>
      <c r="B377" s="1" t="s">
        <v>351</v>
      </c>
      <c r="D377" s="1" t="s">
        <v>452</v>
      </c>
      <c r="T377" s="2" t="s">
        <v>1728</v>
      </c>
      <c r="V377" s="1" t="s">
        <v>42</v>
      </c>
      <c r="X377" s="1" t="s">
        <v>1266</v>
      </c>
      <c r="Y377" s="1" t="s">
        <v>1747</v>
      </c>
      <c r="AG377" s="0" t="n">
        <v>1</v>
      </c>
    </row>
    <row r="378" customFormat="false" ht="13.8" hidden="false" customHeight="false" outlineLevel="0" collapsed="false">
      <c r="A378" s="1" t="s">
        <v>1748</v>
      </c>
      <c r="B378" s="1" t="s">
        <v>1749</v>
      </c>
      <c r="D378" s="1" t="s">
        <v>352</v>
      </c>
      <c r="T378" s="2" t="s">
        <v>1750</v>
      </c>
      <c r="V378" s="1" t="s">
        <v>283</v>
      </c>
      <c r="X378" s="1" t="s">
        <v>1266</v>
      </c>
      <c r="Y378" s="1" t="s">
        <v>1751</v>
      </c>
      <c r="AG378" s="0" t="n">
        <v>1</v>
      </c>
    </row>
    <row r="379" customFormat="false" ht="13.8" hidden="false" customHeight="false" outlineLevel="0" collapsed="false">
      <c r="A379" s="1" t="s">
        <v>1752</v>
      </c>
      <c r="B379" s="1" t="s">
        <v>1753</v>
      </c>
      <c r="D379" s="1" t="s">
        <v>352</v>
      </c>
      <c r="T379" s="2" t="s">
        <v>1754</v>
      </c>
      <c r="V379" s="1" t="s">
        <v>283</v>
      </c>
      <c r="X379" s="1" t="s">
        <v>1266</v>
      </c>
      <c r="Y379" s="1" t="s">
        <v>1755</v>
      </c>
    </row>
    <row r="380" customFormat="false" ht="13.8" hidden="false" customHeight="false" outlineLevel="0" collapsed="false">
      <c r="A380" s="1" t="s">
        <v>1756</v>
      </c>
      <c r="B380" s="1" t="s">
        <v>1757</v>
      </c>
      <c r="D380" s="1" t="s">
        <v>352</v>
      </c>
      <c r="T380" s="2" t="s">
        <v>1758</v>
      </c>
      <c r="V380" s="1" t="s">
        <v>42</v>
      </c>
      <c r="X380" s="1" t="s">
        <v>1266</v>
      </c>
      <c r="Y380" s="1" t="s">
        <v>1266</v>
      </c>
    </row>
    <row r="381" customFormat="false" ht="13.8" hidden="false" customHeight="false" outlineLevel="0" collapsed="false">
      <c r="A381" s="1" t="s">
        <v>1759</v>
      </c>
      <c r="B381" s="1" t="s">
        <v>1760</v>
      </c>
      <c r="D381" s="1" t="s">
        <v>225</v>
      </c>
      <c r="T381" s="2" t="s">
        <v>1761</v>
      </c>
      <c r="V381" s="1" t="s">
        <v>48</v>
      </c>
      <c r="X381" s="1" t="s">
        <v>1266</v>
      </c>
      <c r="Y381" s="1" t="s">
        <v>729</v>
      </c>
    </row>
    <row r="382" customFormat="false" ht="13.8" hidden="false" customHeight="false" outlineLevel="0" collapsed="false">
      <c r="A382" s="1" t="s">
        <v>1762</v>
      </c>
      <c r="B382" s="1" t="s">
        <v>1763</v>
      </c>
      <c r="D382" s="1" t="s">
        <v>352</v>
      </c>
      <c r="T382" s="2" t="s">
        <v>1764</v>
      </c>
      <c r="V382" s="1" t="s">
        <v>283</v>
      </c>
      <c r="X382" s="1" t="s">
        <v>1266</v>
      </c>
      <c r="Y382" s="1" t="s">
        <v>1765</v>
      </c>
    </row>
    <row r="383" customFormat="false" ht="13.8" hidden="false" customHeight="false" outlineLevel="0" collapsed="false">
      <c r="A383" s="1" t="s">
        <v>1766</v>
      </c>
      <c r="B383" s="1" t="s">
        <v>1767</v>
      </c>
      <c r="D383" s="1" t="s">
        <v>225</v>
      </c>
      <c r="T383" s="2" t="s">
        <v>1768</v>
      </c>
      <c r="V383" s="1" t="s">
        <v>332</v>
      </c>
      <c r="X383" s="1" t="s">
        <v>1266</v>
      </c>
      <c r="Y383" s="1" t="s">
        <v>1769</v>
      </c>
    </row>
    <row r="384" customFormat="false" ht="13.8" hidden="false" customHeight="false" outlineLevel="0" collapsed="false">
      <c r="A384" s="1" t="s">
        <v>1770</v>
      </c>
      <c r="B384" s="1" t="s">
        <v>1771</v>
      </c>
      <c r="D384" s="1" t="s">
        <v>34</v>
      </c>
      <c r="T384" s="2" t="s">
        <v>1772</v>
      </c>
      <c r="V384" s="1" t="s">
        <v>1773</v>
      </c>
      <c r="X384" s="1" t="s">
        <v>1266</v>
      </c>
      <c r="Y384" s="1" t="s">
        <v>1774</v>
      </c>
    </row>
    <row r="385" customFormat="false" ht="13.8" hidden="false" customHeight="false" outlineLevel="0" collapsed="false">
      <c r="A385" s="1" t="s">
        <v>1775</v>
      </c>
      <c r="B385" s="1" t="s">
        <v>1776</v>
      </c>
      <c r="D385" s="1" t="s">
        <v>127</v>
      </c>
      <c r="T385" s="2" t="s">
        <v>1777</v>
      </c>
      <c r="V385" s="1" t="s">
        <v>164</v>
      </c>
      <c r="X385" s="1" t="s">
        <v>1266</v>
      </c>
      <c r="Y385" s="1" t="s">
        <v>97</v>
      </c>
    </row>
    <row r="386" customFormat="false" ht="13.8" hidden="false" customHeight="false" outlineLevel="0" collapsed="false">
      <c r="A386" s="1" t="s">
        <v>1778</v>
      </c>
      <c r="B386" s="1" t="s">
        <v>1779</v>
      </c>
      <c r="D386" s="1" t="s">
        <v>34</v>
      </c>
      <c r="T386" s="2" t="s">
        <v>1780</v>
      </c>
      <c r="V386" s="1" t="s">
        <v>261</v>
      </c>
      <c r="X386" s="1" t="s">
        <v>1266</v>
      </c>
      <c r="Y386" s="1" t="s">
        <v>1781</v>
      </c>
    </row>
    <row r="387" customFormat="false" ht="13.8" hidden="false" customHeight="false" outlineLevel="0" collapsed="false">
      <c r="A387" s="1" t="s">
        <v>1782</v>
      </c>
      <c r="B387" s="1" t="s">
        <v>1783</v>
      </c>
      <c r="D387" s="1" t="s">
        <v>225</v>
      </c>
      <c r="T387" s="2" t="s">
        <v>1784</v>
      </c>
      <c r="V387" s="1" t="s">
        <v>117</v>
      </c>
      <c r="X387" s="1" t="s">
        <v>1266</v>
      </c>
      <c r="Y387" s="1" t="s">
        <v>1785</v>
      </c>
    </row>
    <row r="388" customFormat="false" ht="13.8" hidden="false" customHeight="false" outlineLevel="0" collapsed="false">
      <c r="A388" s="1" t="s">
        <v>1786</v>
      </c>
      <c r="B388" s="1" t="s">
        <v>1787</v>
      </c>
      <c r="D388" s="1" t="s">
        <v>225</v>
      </c>
      <c r="E388" s="1" t="s">
        <v>35</v>
      </c>
      <c r="F388" s="1" t="s">
        <v>66</v>
      </c>
      <c r="G388" s="1" t="s">
        <v>38</v>
      </c>
      <c r="H388" s="1" t="s">
        <v>521</v>
      </c>
      <c r="I388" s="1" t="s">
        <v>64</v>
      </c>
      <c r="T388" s="2" t="s">
        <v>1788</v>
      </c>
      <c r="V388" s="1" t="s">
        <v>48</v>
      </c>
      <c r="X388" s="1" t="s">
        <v>1266</v>
      </c>
      <c r="Y388" s="1" t="s">
        <v>190</v>
      </c>
    </row>
    <row r="389" customFormat="false" ht="13.8" hidden="false" customHeight="false" outlineLevel="0" collapsed="false">
      <c r="A389" s="1" t="s">
        <v>1789</v>
      </c>
      <c r="B389" s="1" t="s">
        <v>1790</v>
      </c>
      <c r="D389" s="1" t="s">
        <v>78</v>
      </c>
      <c r="T389" s="2" t="s">
        <v>1791</v>
      </c>
      <c r="V389" s="1" t="s">
        <v>429</v>
      </c>
      <c r="X389" s="1" t="s">
        <v>1266</v>
      </c>
      <c r="Y389" s="1" t="s">
        <v>1792</v>
      </c>
    </row>
    <row r="390" customFormat="false" ht="13.8" hidden="false" customHeight="false" outlineLevel="0" collapsed="false">
      <c r="A390" s="1" t="s">
        <v>1793</v>
      </c>
      <c r="B390" s="1" t="s">
        <v>1794</v>
      </c>
      <c r="D390" s="1" t="s">
        <v>63</v>
      </c>
      <c r="T390" s="2" t="s">
        <v>274</v>
      </c>
      <c r="V390" s="1" t="s">
        <v>283</v>
      </c>
      <c r="X390" s="1" t="s">
        <v>1266</v>
      </c>
      <c r="Y390" s="1" t="s">
        <v>1795</v>
      </c>
    </row>
    <row r="391" customFormat="false" ht="13.8" hidden="false" customHeight="false" outlineLevel="0" collapsed="false">
      <c r="A391" s="1" t="s">
        <v>1796</v>
      </c>
      <c r="B391" s="1" t="s">
        <v>1797</v>
      </c>
      <c r="D391" s="1" t="s">
        <v>63</v>
      </c>
      <c r="T391" s="2" t="s">
        <v>1798</v>
      </c>
      <c r="V391" s="1" t="s">
        <v>429</v>
      </c>
      <c r="X391" s="1" t="s">
        <v>1266</v>
      </c>
      <c r="Y391" s="1" t="s">
        <v>1347</v>
      </c>
    </row>
    <row r="392" customFormat="false" ht="13.8" hidden="false" customHeight="false" outlineLevel="0" collapsed="false">
      <c r="A392" s="1" t="s">
        <v>1799</v>
      </c>
      <c r="B392" s="1" t="s">
        <v>1800</v>
      </c>
      <c r="D392" s="1" t="s">
        <v>225</v>
      </c>
      <c r="T392" s="2" t="s">
        <v>873</v>
      </c>
      <c r="V392" s="1" t="s">
        <v>117</v>
      </c>
      <c r="X392" s="1" t="s">
        <v>1266</v>
      </c>
      <c r="Y392" s="1" t="s">
        <v>1555</v>
      </c>
    </row>
    <row r="393" customFormat="false" ht="13.8" hidden="false" customHeight="false" outlineLevel="0" collapsed="false">
      <c r="A393" s="1" t="s">
        <v>1801</v>
      </c>
      <c r="B393" s="1" t="s">
        <v>1802</v>
      </c>
      <c r="D393" s="1" t="s">
        <v>78</v>
      </c>
      <c r="T393" s="2" t="s">
        <v>1803</v>
      </c>
      <c r="V393" s="1" t="s">
        <v>332</v>
      </c>
      <c r="X393" s="1" t="s">
        <v>1266</v>
      </c>
      <c r="Y393" s="1" t="s">
        <v>1804</v>
      </c>
    </row>
    <row r="394" customFormat="false" ht="13.8" hidden="false" customHeight="false" outlineLevel="0" collapsed="false">
      <c r="A394" s="1" t="s">
        <v>1805</v>
      </c>
      <c r="B394" s="1" t="s">
        <v>1806</v>
      </c>
      <c r="D394" s="1" t="s">
        <v>452</v>
      </c>
      <c r="T394" s="2" t="s">
        <v>367</v>
      </c>
      <c r="V394" s="1" t="s">
        <v>140</v>
      </c>
      <c r="X394" s="1" t="s">
        <v>1266</v>
      </c>
      <c r="Y394" s="1" t="s">
        <v>1807</v>
      </c>
    </row>
    <row r="395" customFormat="false" ht="13.8" hidden="false" customHeight="false" outlineLevel="0" collapsed="false">
      <c r="A395" s="1" t="s">
        <v>1808</v>
      </c>
      <c r="B395" s="1" t="s">
        <v>1809</v>
      </c>
      <c r="D395" s="1" t="s">
        <v>34</v>
      </c>
      <c r="T395" s="2" t="s">
        <v>876</v>
      </c>
      <c r="V395" s="1" t="s">
        <v>48</v>
      </c>
      <c r="X395" s="1" t="s">
        <v>1266</v>
      </c>
      <c r="Y395" s="1" t="s">
        <v>190</v>
      </c>
    </row>
    <row r="396" customFormat="false" ht="13.8" hidden="false" customHeight="false" outlineLevel="0" collapsed="false">
      <c r="A396" s="1" t="s">
        <v>1810</v>
      </c>
      <c r="B396" s="1" t="s">
        <v>1811</v>
      </c>
      <c r="D396" s="1" t="s">
        <v>78</v>
      </c>
      <c r="T396" s="2" t="s">
        <v>1812</v>
      </c>
      <c r="V396" s="1" t="s">
        <v>429</v>
      </c>
      <c r="X396" s="1" t="s">
        <v>1266</v>
      </c>
      <c r="Y396" s="1" t="s">
        <v>1525</v>
      </c>
    </row>
    <row r="397" customFormat="false" ht="13.8" hidden="false" customHeight="false" outlineLevel="0" collapsed="false">
      <c r="A397" s="1" t="s">
        <v>1496</v>
      </c>
      <c r="B397" s="1" t="s">
        <v>1813</v>
      </c>
      <c r="D397" s="1" t="s">
        <v>51</v>
      </c>
      <c r="T397" s="2" t="s">
        <v>1814</v>
      </c>
      <c r="V397" s="1" t="s">
        <v>48</v>
      </c>
      <c r="X397" s="1" t="s">
        <v>1266</v>
      </c>
      <c r="Y397" s="1" t="s">
        <v>1815</v>
      </c>
    </row>
    <row r="398" customFormat="false" ht="13.8" hidden="false" customHeight="false" outlineLevel="0" collapsed="false">
      <c r="A398" s="1" t="s">
        <v>1816</v>
      </c>
      <c r="B398" s="1" t="s">
        <v>1817</v>
      </c>
      <c r="D398" s="1" t="s">
        <v>452</v>
      </c>
      <c r="E398" s="1" t="s">
        <v>1278</v>
      </c>
      <c r="F398" s="1" t="s">
        <v>716</v>
      </c>
      <c r="G398" s="1" t="s">
        <v>361</v>
      </c>
      <c r="T398" s="2" t="s">
        <v>1818</v>
      </c>
      <c r="V398" s="1" t="s">
        <v>429</v>
      </c>
      <c r="X398" s="1" t="s">
        <v>1266</v>
      </c>
      <c r="Y398" s="1" t="s">
        <v>1525</v>
      </c>
    </row>
    <row r="399" customFormat="false" ht="13.8" hidden="false" customHeight="false" outlineLevel="0" collapsed="false">
      <c r="A399" s="1" t="s">
        <v>1819</v>
      </c>
      <c r="B399" s="1" t="s">
        <v>1820</v>
      </c>
      <c r="D399" s="1" t="s">
        <v>63</v>
      </c>
      <c r="E399" s="1" t="s">
        <v>700</v>
      </c>
      <c r="F399" s="1" t="s">
        <v>66</v>
      </c>
      <c r="G399" s="1" t="s">
        <v>64</v>
      </c>
      <c r="H399" s="1" t="s">
        <v>65</v>
      </c>
      <c r="I399" s="1" t="s">
        <v>38</v>
      </c>
      <c r="T399" s="2" t="s">
        <v>1821</v>
      </c>
      <c r="V399" s="1" t="s">
        <v>582</v>
      </c>
      <c r="X399" s="1" t="s">
        <v>1266</v>
      </c>
      <c r="Y399" s="1" t="s">
        <v>1822</v>
      </c>
      <c r="AG399" s="0" t="n">
        <v>1</v>
      </c>
    </row>
    <row r="400" customFormat="false" ht="13.8" hidden="false" customHeight="false" outlineLevel="0" collapsed="false">
      <c r="A400" s="1" t="s">
        <v>1823</v>
      </c>
      <c r="B400" s="1" t="s">
        <v>1824</v>
      </c>
      <c r="D400" s="1" t="s">
        <v>783</v>
      </c>
      <c r="T400" s="2" t="s">
        <v>1825</v>
      </c>
      <c r="V400" s="1" t="s">
        <v>332</v>
      </c>
      <c r="X400" s="1" t="s">
        <v>1266</v>
      </c>
      <c r="Y400" s="1" t="s">
        <v>1266</v>
      </c>
    </row>
    <row r="401" customFormat="false" ht="13.8" hidden="false" customHeight="false" outlineLevel="0" collapsed="false">
      <c r="A401" s="1" t="s">
        <v>1826</v>
      </c>
      <c r="B401" s="1" t="s">
        <v>1827</v>
      </c>
      <c r="D401" s="1" t="s">
        <v>34</v>
      </c>
      <c r="E401" s="1" t="s">
        <v>36</v>
      </c>
      <c r="F401" s="1" t="s">
        <v>181</v>
      </c>
      <c r="G401" s="1" t="s">
        <v>38</v>
      </c>
      <c r="T401" s="2" t="s">
        <v>1828</v>
      </c>
      <c r="V401" s="1" t="s">
        <v>283</v>
      </c>
      <c r="X401" s="1" t="s">
        <v>1266</v>
      </c>
      <c r="Y401" s="1" t="s">
        <v>1829</v>
      </c>
    </row>
    <row r="402" customFormat="false" ht="13.8" hidden="false" customHeight="false" outlineLevel="0" collapsed="false">
      <c r="A402" s="1" t="s">
        <v>1830</v>
      </c>
      <c r="B402" s="1" t="s">
        <v>1831</v>
      </c>
      <c r="D402" s="1" t="s">
        <v>433</v>
      </c>
      <c r="E402" s="1" t="s">
        <v>74</v>
      </c>
      <c r="F402" s="1" t="s">
        <v>38</v>
      </c>
      <c r="T402" s="2" t="s">
        <v>1832</v>
      </c>
      <c r="V402" s="1" t="s">
        <v>42</v>
      </c>
      <c r="X402" s="1" t="s">
        <v>1266</v>
      </c>
      <c r="Y402" s="1" t="s">
        <v>1266</v>
      </c>
    </row>
    <row r="403" customFormat="false" ht="13.8" hidden="false" customHeight="false" outlineLevel="0" collapsed="false">
      <c r="A403" s="1" t="s">
        <v>1833</v>
      </c>
      <c r="B403" s="1" t="s">
        <v>1834</v>
      </c>
      <c r="D403" s="1" t="s">
        <v>78</v>
      </c>
      <c r="E403" s="1" t="s">
        <v>701</v>
      </c>
      <c r="F403" s="1" t="s">
        <v>81</v>
      </c>
      <c r="G403" s="1" t="s">
        <v>79</v>
      </c>
      <c r="H403" s="1" t="s">
        <v>35</v>
      </c>
      <c r="I403" s="1" t="s">
        <v>38</v>
      </c>
      <c r="T403" s="2" t="s">
        <v>1835</v>
      </c>
      <c r="V403" s="1" t="s">
        <v>557</v>
      </c>
      <c r="X403" s="1" t="s">
        <v>1266</v>
      </c>
      <c r="Y403" s="1" t="s">
        <v>1836</v>
      </c>
    </row>
    <row r="404" customFormat="false" ht="13.8" hidden="false" customHeight="false" outlineLevel="0" collapsed="false">
      <c r="A404" s="1" t="s">
        <v>1837</v>
      </c>
      <c r="B404" s="1" t="s">
        <v>1838</v>
      </c>
      <c r="D404" s="1" t="s">
        <v>34</v>
      </c>
      <c r="E404" s="1" t="s">
        <v>1284</v>
      </c>
      <c r="F404" s="1" t="s">
        <v>36</v>
      </c>
      <c r="G404" s="1" t="s">
        <v>81</v>
      </c>
      <c r="H404" s="1" t="s">
        <v>35</v>
      </c>
      <c r="I404" s="1" t="s">
        <v>38</v>
      </c>
      <c r="T404" s="2" t="s">
        <v>541</v>
      </c>
      <c r="V404" s="1" t="s">
        <v>1839</v>
      </c>
      <c r="X404" s="1" t="s">
        <v>1266</v>
      </c>
      <c r="Y404" s="1" t="s">
        <v>1840</v>
      </c>
    </row>
    <row r="405" customFormat="false" ht="13.8" hidden="false" customHeight="false" outlineLevel="0" collapsed="false">
      <c r="A405" s="1" t="s">
        <v>1841</v>
      </c>
      <c r="B405" s="1" t="s">
        <v>1842</v>
      </c>
      <c r="D405" s="1" t="s">
        <v>709</v>
      </c>
      <c r="E405" s="1" t="s">
        <v>193</v>
      </c>
      <c r="T405" s="2" t="s">
        <v>203</v>
      </c>
      <c r="V405" s="1" t="s">
        <v>1111</v>
      </c>
      <c r="X405" s="1" t="s">
        <v>1266</v>
      </c>
      <c r="Y405" s="1" t="s">
        <v>1843</v>
      </c>
    </row>
    <row r="406" customFormat="false" ht="13.8" hidden="false" customHeight="false" outlineLevel="0" collapsed="false">
      <c r="A406" s="1" t="s">
        <v>1844</v>
      </c>
      <c r="B406" s="1" t="s">
        <v>1845</v>
      </c>
      <c r="D406" s="1" t="s">
        <v>63</v>
      </c>
      <c r="E406" s="1" t="s">
        <v>700</v>
      </c>
      <c r="F406" s="1" t="s">
        <v>64</v>
      </c>
      <c r="G406" s="1" t="s">
        <v>65</v>
      </c>
      <c r="H406" s="1" t="s">
        <v>35</v>
      </c>
      <c r="I406" s="1" t="s">
        <v>38</v>
      </c>
      <c r="J406" s="1" t="s">
        <v>66</v>
      </c>
      <c r="T406" s="2" t="s">
        <v>1846</v>
      </c>
      <c r="V406" s="1" t="s">
        <v>429</v>
      </c>
      <c r="X406" s="1" t="s">
        <v>1266</v>
      </c>
      <c r="Y406" s="1" t="s">
        <v>1847</v>
      </c>
    </row>
    <row r="407" customFormat="false" ht="13.8" hidden="false" customHeight="false" outlineLevel="0" collapsed="false">
      <c r="A407" s="1" t="s">
        <v>1848</v>
      </c>
      <c r="B407" s="1" t="s">
        <v>1849</v>
      </c>
      <c r="D407" s="1" t="s">
        <v>34</v>
      </c>
      <c r="E407" s="1" t="s">
        <v>36</v>
      </c>
      <c r="F407" s="1" t="s">
        <v>701</v>
      </c>
      <c r="G407" s="1" t="s">
        <v>35</v>
      </c>
      <c r="H407" s="1" t="s">
        <v>38</v>
      </c>
      <c r="T407" s="2" t="s">
        <v>1850</v>
      </c>
      <c r="V407" s="1" t="s">
        <v>283</v>
      </c>
      <c r="X407" s="1" t="s">
        <v>1266</v>
      </c>
      <c r="Y407" s="1" t="s">
        <v>1851</v>
      </c>
    </row>
    <row r="408" customFormat="false" ht="13.8" hidden="false" customHeight="false" outlineLevel="0" collapsed="false">
      <c r="A408" s="1" t="s">
        <v>1852</v>
      </c>
      <c r="B408" s="1" t="s">
        <v>1853</v>
      </c>
      <c r="D408" s="1" t="s">
        <v>78</v>
      </c>
      <c r="T408" s="2" t="s">
        <v>1854</v>
      </c>
      <c r="V408" s="1" t="s">
        <v>381</v>
      </c>
      <c r="X408" s="1" t="s">
        <v>1266</v>
      </c>
      <c r="Y408" s="1" t="s">
        <v>1855</v>
      </c>
    </row>
    <row r="409" customFormat="false" ht="13.8" hidden="false" customHeight="false" outlineLevel="0" collapsed="false">
      <c r="A409" s="1" t="s">
        <v>1856</v>
      </c>
      <c r="B409" s="1" t="s">
        <v>1857</v>
      </c>
      <c r="D409" s="1" t="s">
        <v>34</v>
      </c>
      <c r="E409" s="1" t="s">
        <v>36</v>
      </c>
      <c r="F409" s="1" t="s">
        <v>81</v>
      </c>
      <c r="G409" s="1" t="s">
        <v>35</v>
      </c>
      <c r="H409" s="1" t="s">
        <v>38</v>
      </c>
      <c r="I409" s="1" t="s">
        <v>1284</v>
      </c>
      <c r="T409" s="2" t="s">
        <v>1858</v>
      </c>
      <c r="V409" s="1" t="s">
        <v>1340</v>
      </c>
      <c r="X409" s="1" t="s">
        <v>1266</v>
      </c>
      <c r="Y409" s="1" t="s">
        <v>1859</v>
      </c>
    </row>
    <row r="410" customFormat="false" ht="13.8" hidden="false" customHeight="false" outlineLevel="0" collapsed="false">
      <c r="A410" s="1" t="s">
        <v>1860</v>
      </c>
      <c r="B410" s="1" t="s">
        <v>1861</v>
      </c>
      <c r="D410" s="1" t="s">
        <v>78</v>
      </c>
      <c r="E410" s="1" t="s">
        <v>79</v>
      </c>
      <c r="F410" s="1" t="s">
        <v>81</v>
      </c>
      <c r="G410" s="1" t="s">
        <v>35</v>
      </c>
      <c r="H410" s="1" t="s">
        <v>38</v>
      </c>
      <c r="I410" s="1" t="s">
        <v>701</v>
      </c>
      <c r="T410" s="2" t="s">
        <v>1862</v>
      </c>
      <c r="V410" s="1" t="s">
        <v>48</v>
      </c>
      <c r="X410" s="1" t="s">
        <v>1266</v>
      </c>
      <c r="Y410" s="1" t="s">
        <v>1863</v>
      </c>
    </row>
    <row r="411" customFormat="false" ht="13.8" hidden="false" customHeight="false" outlineLevel="0" collapsed="false">
      <c r="A411" s="1" t="s">
        <v>1864</v>
      </c>
      <c r="B411" s="1" t="s">
        <v>1865</v>
      </c>
      <c r="D411" s="1" t="s">
        <v>225</v>
      </c>
      <c r="T411" s="2" t="s">
        <v>847</v>
      </c>
      <c r="V411" s="1" t="s">
        <v>208</v>
      </c>
      <c r="X411" s="1" t="s">
        <v>1866</v>
      </c>
      <c r="Y411" s="1" t="s">
        <v>1867</v>
      </c>
    </row>
    <row r="412" customFormat="false" ht="13.8" hidden="false" customHeight="false" outlineLevel="0" collapsed="false">
      <c r="A412" s="1" t="s">
        <v>1868</v>
      </c>
      <c r="B412" s="1" t="s">
        <v>1869</v>
      </c>
      <c r="D412" s="1" t="s">
        <v>63</v>
      </c>
      <c r="T412" s="2" t="s">
        <v>1870</v>
      </c>
      <c r="V412" s="1" t="s">
        <v>208</v>
      </c>
      <c r="X412" s="1" t="s">
        <v>1866</v>
      </c>
      <c r="Y412" s="1" t="s">
        <v>1871</v>
      </c>
    </row>
    <row r="413" customFormat="false" ht="13.8" hidden="false" customHeight="false" outlineLevel="0" collapsed="false">
      <c r="A413" s="1" t="s">
        <v>1872</v>
      </c>
      <c r="B413" s="1" t="s">
        <v>1873</v>
      </c>
      <c r="D413" s="1" t="s">
        <v>1874</v>
      </c>
      <c r="E413" s="1" t="s">
        <v>889</v>
      </c>
      <c r="F413" s="1" t="s">
        <v>361</v>
      </c>
      <c r="Q413" s="2" t="s">
        <v>115</v>
      </c>
      <c r="S413" s="2" t="s">
        <v>569</v>
      </c>
      <c r="T413" s="2" t="s">
        <v>1125</v>
      </c>
      <c r="V413" s="1" t="s">
        <v>396</v>
      </c>
      <c r="X413" s="1" t="s">
        <v>1875</v>
      </c>
      <c r="Y413" s="1" t="s">
        <v>1875</v>
      </c>
      <c r="AB413" s="1" t="s">
        <v>45</v>
      </c>
      <c r="AC413" s="1" t="s">
        <v>45</v>
      </c>
    </row>
    <row r="414" customFormat="false" ht="13.8" hidden="false" customHeight="false" outlineLevel="0" collapsed="false">
      <c r="A414" s="1" t="s">
        <v>1876</v>
      </c>
      <c r="B414" s="1" t="s">
        <v>1877</v>
      </c>
      <c r="D414" s="1" t="s">
        <v>1874</v>
      </c>
      <c r="E414" s="1" t="s">
        <v>889</v>
      </c>
      <c r="F414" s="1" t="s">
        <v>361</v>
      </c>
      <c r="Q414" s="2" t="s">
        <v>1466</v>
      </c>
      <c r="S414" s="2" t="s">
        <v>569</v>
      </c>
      <c r="T414" s="2" t="s">
        <v>569</v>
      </c>
      <c r="V414" s="1" t="s">
        <v>1878</v>
      </c>
      <c r="X414" s="1" t="s">
        <v>1875</v>
      </c>
      <c r="Y414" s="1" t="s">
        <v>1875</v>
      </c>
      <c r="AB414" s="1" t="s">
        <v>45</v>
      </c>
      <c r="AC414" s="1" t="s">
        <v>45</v>
      </c>
    </row>
    <row r="415" customFormat="false" ht="13.8" hidden="false" customHeight="false" outlineLevel="0" collapsed="false">
      <c r="A415" s="1" t="s">
        <v>1879</v>
      </c>
      <c r="B415" s="1" t="s">
        <v>1880</v>
      </c>
      <c r="D415" s="1" t="s">
        <v>225</v>
      </c>
      <c r="E415" s="1" t="s">
        <v>1392</v>
      </c>
      <c r="F415" s="1" t="s">
        <v>35</v>
      </c>
      <c r="G415" s="1" t="s">
        <v>38</v>
      </c>
      <c r="Q415" s="2" t="s">
        <v>593</v>
      </c>
      <c r="S415" s="2" t="s">
        <v>40</v>
      </c>
      <c r="T415" s="2" t="s">
        <v>40</v>
      </c>
      <c r="V415" s="1" t="s">
        <v>1881</v>
      </c>
      <c r="X415" s="1" t="s">
        <v>1875</v>
      </c>
      <c r="Y415" s="1" t="s">
        <v>1875</v>
      </c>
      <c r="AB415" s="1" t="s">
        <v>45</v>
      </c>
      <c r="AC415" s="1" t="s">
        <v>45</v>
      </c>
    </row>
    <row r="416" customFormat="false" ht="13.8" hidden="false" customHeight="false" outlineLevel="0" collapsed="false">
      <c r="A416" s="1" t="s">
        <v>1882</v>
      </c>
      <c r="B416" s="1" t="s">
        <v>1883</v>
      </c>
      <c r="D416" s="1" t="s">
        <v>225</v>
      </c>
      <c r="E416" s="1" t="s">
        <v>1392</v>
      </c>
      <c r="F416" s="1" t="s">
        <v>35</v>
      </c>
      <c r="G416" s="1" t="s">
        <v>38</v>
      </c>
      <c r="Q416" s="2" t="s">
        <v>163</v>
      </c>
      <c r="S416" s="2" t="s">
        <v>1515</v>
      </c>
      <c r="T416" s="2" t="s">
        <v>1884</v>
      </c>
      <c r="V416" s="1" t="s">
        <v>164</v>
      </c>
      <c r="X416" s="1" t="s">
        <v>1875</v>
      </c>
      <c r="Y416" s="1" t="s">
        <v>1875</v>
      </c>
      <c r="AB416" s="1" t="s">
        <v>45</v>
      </c>
      <c r="AC416" s="1" t="s">
        <v>45</v>
      </c>
    </row>
    <row r="417" customFormat="false" ht="13.8" hidden="false" customHeight="false" outlineLevel="0" collapsed="false">
      <c r="A417" s="1" t="s">
        <v>1885</v>
      </c>
      <c r="B417" s="1" t="s">
        <v>1886</v>
      </c>
      <c r="D417" s="1" t="s">
        <v>1874</v>
      </c>
      <c r="E417" s="1" t="s">
        <v>889</v>
      </c>
      <c r="F417" s="1" t="s">
        <v>361</v>
      </c>
      <c r="S417" s="2" t="s">
        <v>1884</v>
      </c>
      <c r="T417" s="2" t="s">
        <v>1884</v>
      </c>
      <c r="V417" s="1" t="s">
        <v>396</v>
      </c>
      <c r="X417" s="1" t="s">
        <v>1875</v>
      </c>
      <c r="Y417" s="1" t="s">
        <v>1875</v>
      </c>
      <c r="AB417" s="1" t="s">
        <v>45</v>
      </c>
      <c r="AC417" s="1" t="s">
        <v>45</v>
      </c>
    </row>
    <row r="418" customFormat="false" ht="13.8" hidden="false" customHeight="false" outlineLevel="0" collapsed="false">
      <c r="A418" s="1" t="s">
        <v>1887</v>
      </c>
      <c r="B418" s="1" t="s">
        <v>1888</v>
      </c>
      <c r="D418" s="1" t="s">
        <v>953</v>
      </c>
      <c r="T418" s="2" t="s">
        <v>317</v>
      </c>
      <c r="V418" s="1" t="s">
        <v>172</v>
      </c>
      <c r="X418" s="1" t="s">
        <v>1889</v>
      </c>
      <c r="Y418" s="1" t="s">
        <v>1890</v>
      </c>
    </row>
    <row r="419" customFormat="false" ht="13.8" hidden="false" customHeight="false" outlineLevel="0" collapsed="false">
      <c r="A419" s="1" t="s">
        <v>1891</v>
      </c>
      <c r="B419" s="1" t="s">
        <v>1892</v>
      </c>
      <c r="D419" s="1" t="s">
        <v>1874</v>
      </c>
      <c r="T419" s="2" t="s">
        <v>1893</v>
      </c>
      <c r="V419" s="1" t="s">
        <v>295</v>
      </c>
      <c r="X419" s="1" t="s">
        <v>1894</v>
      </c>
      <c r="Y419" s="1" t="s">
        <v>1894</v>
      </c>
    </row>
    <row r="420" customFormat="false" ht="13.8" hidden="false" customHeight="false" outlineLevel="0" collapsed="false">
      <c r="A420" s="1" t="s">
        <v>1895</v>
      </c>
      <c r="B420" s="1" t="s">
        <v>1896</v>
      </c>
      <c r="D420" s="1" t="s">
        <v>51</v>
      </c>
      <c r="E420" s="1" t="s">
        <v>52</v>
      </c>
      <c r="F420" s="1" t="s">
        <v>153</v>
      </c>
      <c r="G420" s="1" t="s">
        <v>696</v>
      </c>
      <c r="H420" s="1" t="s">
        <v>38</v>
      </c>
      <c r="Q420" s="2" t="s">
        <v>1004</v>
      </c>
      <c r="S420" s="2" t="s">
        <v>1897</v>
      </c>
      <c r="T420" s="2" t="s">
        <v>1898</v>
      </c>
      <c r="V420" s="1" t="s">
        <v>117</v>
      </c>
      <c r="X420" s="1" t="s">
        <v>246</v>
      </c>
      <c r="Y420" s="1" t="s">
        <v>1899</v>
      </c>
      <c r="AB420" s="1" t="s">
        <v>45</v>
      </c>
      <c r="AC420" s="1" t="s">
        <v>45</v>
      </c>
    </row>
    <row r="421" customFormat="false" ht="13.8" hidden="false" customHeight="false" outlineLevel="0" collapsed="false">
      <c r="A421" s="1" t="s">
        <v>1900</v>
      </c>
      <c r="B421" s="1" t="s">
        <v>1901</v>
      </c>
      <c r="D421" s="1" t="s">
        <v>51</v>
      </c>
      <c r="E421" s="1" t="s">
        <v>52</v>
      </c>
      <c r="F421" s="1" t="s">
        <v>153</v>
      </c>
      <c r="G421" s="1" t="s">
        <v>696</v>
      </c>
      <c r="H421" s="1" t="s">
        <v>38</v>
      </c>
      <c r="Q421" s="2" t="s">
        <v>1558</v>
      </c>
      <c r="S421" s="2" t="s">
        <v>1516</v>
      </c>
      <c r="T421" s="2" t="s">
        <v>1902</v>
      </c>
      <c r="V421" s="1" t="s">
        <v>140</v>
      </c>
      <c r="X421" s="1" t="s">
        <v>246</v>
      </c>
      <c r="Y421" s="1" t="s">
        <v>1903</v>
      </c>
      <c r="AB421" s="1" t="s">
        <v>45</v>
      </c>
      <c r="AC421" s="1" t="s">
        <v>45</v>
      </c>
    </row>
    <row r="422" customFormat="false" ht="13.8" hidden="false" customHeight="false" outlineLevel="0" collapsed="false">
      <c r="A422" s="1" t="s">
        <v>1904</v>
      </c>
      <c r="B422" s="1" t="s">
        <v>1901</v>
      </c>
      <c r="D422" s="1" t="s">
        <v>51</v>
      </c>
      <c r="E422" s="1" t="s">
        <v>52</v>
      </c>
      <c r="F422" s="1" t="s">
        <v>153</v>
      </c>
      <c r="G422" s="1" t="s">
        <v>696</v>
      </c>
      <c r="H422" s="1" t="s">
        <v>38</v>
      </c>
      <c r="T422" s="2" t="s">
        <v>1905</v>
      </c>
      <c r="V422" s="1" t="s">
        <v>332</v>
      </c>
      <c r="X422" s="1" t="s">
        <v>246</v>
      </c>
      <c r="Y422" s="1" t="s">
        <v>1906</v>
      </c>
    </row>
    <row r="423" customFormat="false" ht="13.8" hidden="false" customHeight="false" outlineLevel="0" collapsed="false">
      <c r="A423" s="1" t="s">
        <v>1907</v>
      </c>
      <c r="B423" s="1" t="s">
        <v>1908</v>
      </c>
      <c r="D423" s="1" t="s">
        <v>63</v>
      </c>
      <c r="T423" s="2" t="s">
        <v>1909</v>
      </c>
      <c r="V423" s="1" t="s">
        <v>1910</v>
      </c>
      <c r="X423" s="1" t="s">
        <v>1911</v>
      </c>
      <c r="Y423" s="1" t="s">
        <v>1912</v>
      </c>
      <c r="AB423" s="1" t="s">
        <v>45</v>
      </c>
      <c r="AC423" s="1" t="s">
        <v>45</v>
      </c>
    </row>
    <row r="424" customFormat="false" ht="13.8" hidden="false" customHeight="false" outlineLevel="0" collapsed="false">
      <c r="A424" s="1" t="s">
        <v>1913</v>
      </c>
      <c r="B424" s="1" t="s">
        <v>1914</v>
      </c>
      <c r="D424" s="1" t="s">
        <v>1915</v>
      </c>
      <c r="T424" s="2" t="s">
        <v>1916</v>
      </c>
      <c r="V424" s="1" t="s">
        <v>772</v>
      </c>
      <c r="X424" s="1" t="s">
        <v>1917</v>
      </c>
      <c r="Y424" s="1" t="s">
        <v>1918</v>
      </c>
    </row>
    <row r="425" customFormat="false" ht="13.8" hidden="false" customHeight="false" outlineLevel="0" collapsed="false">
      <c r="A425" s="1" t="s">
        <v>1919</v>
      </c>
      <c r="B425" s="1" t="s">
        <v>1920</v>
      </c>
      <c r="D425" s="1" t="s">
        <v>1874</v>
      </c>
      <c r="E425" s="1" t="s">
        <v>889</v>
      </c>
      <c r="F425" s="1" t="s">
        <v>361</v>
      </c>
      <c r="Q425" s="2" t="s">
        <v>1921</v>
      </c>
      <c r="S425" s="2" t="s">
        <v>526</v>
      </c>
      <c r="T425" s="2" t="s">
        <v>526</v>
      </c>
      <c r="V425" s="1" t="s">
        <v>429</v>
      </c>
      <c r="X425" s="1" t="s">
        <v>1922</v>
      </c>
      <c r="Y425" s="1" t="s">
        <v>1922</v>
      </c>
      <c r="AB425" s="1" t="s">
        <v>45</v>
      </c>
      <c r="AC425" s="1" t="s">
        <v>45</v>
      </c>
      <c r="AE425" s="1" t="s">
        <v>45</v>
      </c>
    </row>
    <row r="426" customFormat="false" ht="13.8" hidden="false" customHeight="false" outlineLevel="0" collapsed="false">
      <c r="A426" s="1" t="s">
        <v>1923</v>
      </c>
      <c r="B426" s="1" t="s">
        <v>1924</v>
      </c>
      <c r="D426" s="1" t="s">
        <v>34</v>
      </c>
      <c r="T426" s="2" t="s">
        <v>1657</v>
      </c>
      <c r="V426" s="1" t="s">
        <v>443</v>
      </c>
      <c r="X426" s="1" t="s">
        <v>1925</v>
      </c>
      <c r="Y426" s="1" t="s">
        <v>1925</v>
      </c>
    </row>
    <row r="427" customFormat="false" ht="13.8" hidden="false" customHeight="false" outlineLevel="0" collapsed="false">
      <c r="A427" s="1" t="s">
        <v>1926</v>
      </c>
      <c r="B427" s="1" t="s">
        <v>1927</v>
      </c>
      <c r="D427" s="1" t="s">
        <v>78</v>
      </c>
      <c r="E427" s="1" t="s">
        <v>81</v>
      </c>
      <c r="F427" s="1" t="s">
        <v>79</v>
      </c>
      <c r="G427" s="1" t="s">
        <v>716</v>
      </c>
      <c r="H427" s="1" t="s">
        <v>521</v>
      </c>
      <c r="I427" s="1" t="s">
        <v>1244</v>
      </c>
      <c r="J427" s="1" t="s">
        <v>522</v>
      </c>
      <c r="Q427" s="2" t="s">
        <v>1928</v>
      </c>
      <c r="T427" s="2" t="s">
        <v>1929</v>
      </c>
      <c r="V427" s="1" t="s">
        <v>189</v>
      </c>
      <c r="X427" s="1" t="s">
        <v>1930</v>
      </c>
      <c r="Y427" s="1" t="s">
        <v>45</v>
      </c>
    </row>
    <row r="428" customFormat="false" ht="13.8" hidden="false" customHeight="false" outlineLevel="0" collapsed="false">
      <c r="A428" s="1" t="s">
        <v>1931</v>
      </c>
      <c r="B428" s="1" t="s">
        <v>1932</v>
      </c>
      <c r="D428" s="1" t="s">
        <v>404</v>
      </c>
      <c r="T428" s="2" t="s">
        <v>626</v>
      </c>
      <c r="V428" s="1" t="s">
        <v>45</v>
      </c>
      <c r="X428" s="1" t="s">
        <v>1933</v>
      </c>
      <c r="Y428" s="1" t="s">
        <v>45</v>
      </c>
      <c r="AB428" s="1" t="s">
        <v>59</v>
      </c>
      <c r="AC428" s="1" t="s">
        <v>142</v>
      </c>
    </row>
    <row r="429" customFormat="false" ht="13.8" hidden="false" customHeight="false" outlineLevel="0" collapsed="false">
      <c r="A429" s="1" t="s">
        <v>1934</v>
      </c>
      <c r="B429" s="1" t="s">
        <v>1935</v>
      </c>
      <c r="D429" s="1" t="s">
        <v>404</v>
      </c>
      <c r="T429" s="2" t="s">
        <v>260</v>
      </c>
      <c r="V429" s="1" t="s">
        <v>45</v>
      </c>
      <c r="X429" s="1" t="s">
        <v>1933</v>
      </c>
      <c r="Y429" s="1" t="s">
        <v>45</v>
      </c>
      <c r="AB429" s="1" t="s">
        <v>45</v>
      </c>
      <c r="AC429" s="1" t="s">
        <v>45</v>
      </c>
    </row>
    <row r="430" customFormat="false" ht="13.8" hidden="false" customHeight="false" outlineLevel="0" collapsed="false">
      <c r="A430" s="1" t="s">
        <v>1936</v>
      </c>
      <c r="B430" s="1" t="s">
        <v>1937</v>
      </c>
      <c r="D430" s="1" t="s">
        <v>783</v>
      </c>
      <c r="E430" s="1" t="s">
        <v>716</v>
      </c>
      <c r="F430" s="1" t="s">
        <v>889</v>
      </c>
      <c r="G430" s="1" t="s">
        <v>361</v>
      </c>
      <c r="T430" s="2" t="s">
        <v>1211</v>
      </c>
      <c r="V430" s="1" t="s">
        <v>1938</v>
      </c>
      <c r="X430" s="1" t="s">
        <v>1933</v>
      </c>
      <c r="Y430" s="1" t="s">
        <v>1933</v>
      </c>
    </row>
    <row r="431" customFormat="false" ht="13.8" hidden="false" customHeight="false" outlineLevel="0" collapsed="false">
      <c r="A431" s="1" t="s">
        <v>1939</v>
      </c>
      <c r="B431" s="1" t="s">
        <v>1940</v>
      </c>
      <c r="D431" s="1" t="s">
        <v>127</v>
      </c>
      <c r="E431" s="1" t="s">
        <v>128</v>
      </c>
      <c r="F431" s="1" t="s">
        <v>361</v>
      </c>
      <c r="G431" s="1" t="s">
        <v>64</v>
      </c>
      <c r="H431" s="1" t="s">
        <v>1244</v>
      </c>
      <c r="Q431" s="2" t="s">
        <v>1941</v>
      </c>
      <c r="T431" s="2" t="s">
        <v>1942</v>
      </c>
      <c r="V431" s="1" t="s">
        <v>164</v>
      </c>
      <c r="X431" s="1" t="s">
        <v>1943</v>
      </c>
      <c r="Y431" s="1" t="s">
        <v>1944</v>
      </c>
    </row>
    <row r="432" customFormat="false" ht="13.8" hidden="false" customHeight="false" outlineLevel="0" collapsed="false">
      <c r="A432" s="1" t="s">
        <v>1945</v>
      </c>
      <c r="B432" s="1" t="s">
        <v>1946</v>
      </c>
      <c r="D432" s="1" t="s">
        <v>1947</v>
      </c>
      <c r="E432" s="1" t="s">
        <v>1948</v>
      </c>
      <c r="F432" s="1" t="s">
        <v>37</v>
      </c>
      <c r="G432" s="1" t="s">
        <v>38</v>
      </c>
      <c r="Q432" s="2" t="s">
        <v>1399</v>
      </c>
      <c r="S432" s="2" t="s">
        <v>1949</v>
      </c>
      <c r="T432" s="2" t="s">
        <v>1949</v>
      </c>
      <c r="V432" s="1" t="s">
        <v>886</v>
      </c>
      <c r="X432" s="1" t="s">
        <v>1950</v>
      </c>
      <c r="Y432" s="1" t="s">
        <v>45</v>
      </c>
    </row>
    <row r="433" customFormat="false" ht="13.8" hidden="false" customHeight="false" outlineLevel="0" collapsed="false">
      <c r="A433" s="1" t="s">
        <v>1951</v>
      </c>
      <c r="B433" s="1" t="s">
        <v>1952</v>
      </c>
      <c r="D433" s="1" t="s">
        <v>78</v>
      </c>
      <c r="E433" s="1" t="s">
        <v>79</v>
      </c>
      <c r="F433" s="1" t="s">
        <v>80</v>
      </c>
      <c r="G433" s="1" t="s">
        <v>1948</v>
      </c>
      <c r="H433" s="1" t="s">
        <v>35</v>
      </c>
      <c r="I433" s="1" t="s">
        <v>38</v>
      </c>
      <c r="Q433" s="2" t="s">
        <v>1308</v>
      </c>
      <c r="S433" s="2" t="s">
        <v>1953</v>
      </c>
      <c r="T433" s="2" t="s">
        <v>1953</v>
      </c>
      <c r="V433" s="1" t="s">
        <v>283</v>
      </c>
      <c r="X433" s="1" t="s">
        <v>1950</v>
      </c>
      <c r="Y433" s="1" t="s">
        <v>45</v>
      </c>
    </row>
    <row r="434" customFormat="false" ht="13.8" hidden="false" customHeight="false" outlineLevel="0" collapsed="false">
      <c r="A434" s="1" t="s">
        <v>1954</v>
      </c>
      <c r="B434" s="1" t="s">
        <v>1955</v>
      </c>
      <c r="D434" s="1" t="s">
        <v>1947</v>
      </c>
      <c r="E434" s="1" t="s">
        <v>79</v>
      </c>
      <c r="F434" s="1" t="s">
        <v>1948</v>
      </c>
      <c r="G434" s="1" t="s">
        <v>35</v>
      </c>
      <c r="H434" s="1" t="s">
        <v>37</v>
      </c>
      <c r="Q434" s="2" t="s">
        <v>1054</v>
      </c>
      <c r="S434" s="2" t="s">
        <v>1956</v>
      </c>
      <c r="T434" s="2" t="s">
        <v>1956</v>
      </c>
      <c r="V434" s="1" t="s">
        <v>283</v>
      </c>
      <c r="X434" s="1" t="s">
        <v>1950</v>
      </c>
      <c r="Y434" s="1" t="s">
        <v>45</v>
      </c>
    </row>
    <row r="435" customFormat="false" ht="13.8" hidden="false" customHeight="false" outlineLevel="0" collapsed="false">
      <c r="A435" s="1" t="s">
        <v>1957</v>
      </c>
      <c r="B435" s="1" t="s">
        <v>1958</v>
      </c>
      <c r="D435" s="1" t="s">
        <v>78</v>
      </c>
      <c r="E435" s="1" t="s">
        <v>79</v>
      </c>
      <c r="F435" s="1" t="s">
        <v>1948</v>
      </c>
      <c r="G435" s="1" t="s">
        <v>35</v>
      </c>
      <c r="Q435" s="2" t="s">
        <v>1054</v>
      </c>
      <c r="S435" s="2" t="s">
        <v>1956</v>
      </c>
      <c r="T435" s="2" t="s">
        <v>1956</v>
      </c>
      <c r="V435" s="1" t="s">
        <v>140</v>
      </c>
      <c r="X435" s="1" t="s">
        <v>1950</v>
      </c>
      <c r="Y435" s="1" t="s">
        <v>45</v>
      </c>
    </row>
    <row r="436" customFormat="false" ht="13.8" hidden="false" customHeight="false" outlineLevel="0" collapsed="false">
      <c r="A436" s="1" t="s">
        <v>1959</v>
      </c>
      <c r="B436" s="1" t="s">
        <v>1960</v>
      </c>
      <c r="D436" s="1" t="s">
        <v>78</v>
      </c>
      <c r="E436" s="1" t="s">
        <v>113</v>
      </c>
      <c r="F436" s="1" t="s">
        <v>1948</v>
      </c>
      <c r="G436" s="1" t="s">
        <v>35</v>
      </c>
      <c r="Q436" s="2" t="s">
        <v>1346</v>
      </c>
      <c r="S436" s="2" t="s">
        <v>1050</v>
      </c>
      <c r="T436" s="2" t="s">
        <v>1050</v>
      </c>
      <c r="V436" s="1" t="s">
        <v>140</v>
      </c>
      <c r="X436" s="1" t="s">
        <v>1950</v>
      </c>
      <c r="Y436" s="1" t="s">
        <v>45</v>
      </c>
    </row>
    <row r="437" customFormat="false" ht="13.8" hidden="false" customHeight="false" outlineLevel="0" collapsed="false">
      <c r="A437" s="1" t="s">
        <v>1961</v>
      </c>
      <c r="B437" s="1" t="s">
        <v>1962</v>
      </c>
      <c r="D437" s="1" t="s">
        <v>78</v>
      </c>
      <c r="E437" s="1" t="s">
        <v>79</v>
      </c>
      <c r="F437" s="1" t="s">
        <v>1948</v>
      </c>
      <c r="G437" s="1" t="s">
        <v>35</v>
      </c>
      <c r="H437" s="1" t="s">
        <v>92</v>
      </c>
      <c r="Q437" s="2" t="s">
        <v>1346</v>
      </c>
      <c r="S437" s="2" t="s">
        <v>1050</v>
      </c>
      <c r="T437" s="2" t="s">
        <v>1050</v>
      </c>
      <c r="V437" s="1" t="s">
        <v>332</v>
      </c>
      <c r="X437" s="1" t="s">
        <v>1950</v>
      </c>
      <c r="Y437" s="1" t="s">
        <v>45</v>
      </c>
    </row>
    <row r="438" customFormat="false" ht="13.8" hidden="false" customHeight="false" outlineLevel="0" collapsed="false">
      <c r="A438" s="1" t="s">
        <v>1963</v>
      </c>
      <c r="B438" s="1" t="s">
        <v>1964</v>
      </c>
      <c r="D438" s="1" t="s">
        <v>63</v>
      </c>
      <c r="E438" s="1" t="s">
        <v>101</v>
      </c>
      <c r="F438" s="1" t="s">
        <v>64</v>
      </c>
      <c r="G438" s="1" t="s">
        <v>716</v>
      </c>
      <c r="H438" s="1" t="s">
        <v>1244</v>
      </c>
      <c r="I438" s="1" t="s">
        <v>1965</v>
      </c>
      <c r="Q438" s="2" t="s">
        <v>1346</v>
      </c>
      <c r="S438" s="2" t="s">
        <v>1966</v>
      </c>
      <c r="T438" s="2" t="s">
        <v>1966</v>
      </c>
      <c r="V438" s="1" t="s">
        <v>332</v>
      </c>
      <c r="X438" s="1" t="s">
        <v>1950</v>
      </c>
      <c r="Y438" s="1" t="s">
        <v>45</v>
      </c>
    </row>
    <row r="439" customFormat="false" ht="13.8" hidden="false" customHeight="false" outlineLevel="0" collapsed="false">
      <c r="A439" s="1" t="s">
        <v>1967</v>
      </c>
      <c r="B439" s="1" t="s">
        <v>1968</v>
      </c>
      <c r="D439" s="1" t="s">
        <v>1969</v>
      </c>
      <c r="E439" s="1" t="s">
        <v>38</v>
      </c>
      <c r="F439" s="1" t="s">
        <v>1970</v>
      </c>
      <c r="G439" s="1" t="s">
        <v>1971</v>
      </c>
      <c r="H439" s="1" t="s">
        <v>36</v>
      </c>
      <c r="I439" s="1" t="s">
        <v>91</v>
      </c>
      <c r="M439" s="1" t="s">
        <v>1972</v>
      </c>
      <c r="Q439" s="2" t="s">
        <v>1973</v>
      </c>
      <c r="S439" s="2" t="s">
        <v>1974</v>
      </c>
      <c r="T439" s="2" t="s">
        <v>1974</v>
      </c>
      <c r="V439" s="1" t="s">
        <v>117</v>
      </c>
      <c r="X439" s="1" t="s">
        <v>1975</v>
      </c>
      <c r="Y439" s="1" t="s">
        <v>1976</v>
      </c>
      <c r="AB439" s="1" t="s">
        <v>1977</v>
      </c>
      <c r="AC439" s="1" t="s">
        <v>88</v>
      </c>
      <c r="AE439" s="1" t="s">
        <v>45</v>
      </c>
    </row>
    <row r="440" customFormat="false" ht="13.8" hidden="false" customHeight="false" outlineLevel="0" collapsed="false">
      <c r="A440" s="1" t="s">
        <v>1978</v>
      </c>
      <c r="B440" s="1" t="s">
        <v>1979</v>
      </c>
      <c r="D440" s="1" t="s">
        <v>776</v>
      </c>
      <c r="E440" s="1" t="s">
        <v>715</v>
      </c>
      <c r="F440" s="1" t="s">
        <v>91</v>
      </c>
      <c r="G440" s="1" t="s">
        <v>38</v>
      </c>
      <c r="H440" s="1" t="s">
        <v>36</v>
      </c>
      <c r="I440" s="1" t="s">
        <v>35</v>
      </c>
      <c r="Q440" s="2" t="s">
        <v>1980</v>
      </c>
      <c r="T440" s="2" t="s">
        <v>1981</v>
      </c>
      <c r="V440" s="1" t="s">
        <v>1982</v>
      </c>
      <c r="X440" s="1" t="s">
        <v>1975</v>
      </c>
      <c r="Y440" s="1" t="s">
        <v>1983</v>
      </c>
      <c r="AB440" s="1" t="s">
        <v>45</v>
      </c>
      <c r="AC440" s="1" t="s">
        <v>45</v>
      </c>
    </row>
    <row r="441" customFormat="false" ht="13.8" hidden="false" customHeight="false" outlineLevel="0" collapsed="false">
      <c r="A441" s="1" t="s">
        <v>1984</v>
      </c>
      <c r="B441" s="1" t="s">
        <v>1985</v>
      </c>
      <c r="D441" s="1" t="s">
        <v>776</v>
      </c>
      <c r="E441" s="1" t="s">
        <v>715</v>
      </c>
      <c r="F441" s="1" t="s">
        <v>91</v>
      </c>
      <c r="G441" s="1" t="s">
        <v>38</v>
      </c>
      <c r="H441" s="1" t="s">
        <v>36</v>
      </c>
      <c r="I441" s="1" t="s">
        <v>35</v>
      </c>
      <c r="Q441" s="2" t="s">
        <v>1335</v>
      </c>
      <c r="T441" s="2" t="s">
        <v>1986</v>
      </c>
      <c r="V441" s="1" t="s">
        <v>1987</v>
      </c>
      <c r="X441" s="1" t="s">
        <v>1975</v>
      </c>
      <c r="Y441" s="1" t="s">
        <v>1983</v>
      </c>
      <c r="AB441" s="1" t="s">
        <v>45</v>
      </c>
      <c r="AC441" s="1" t="s">
        <v>45</v>
      </c>
    </row>
    <row r="442" customFormat="false" ht="13.8" hidden="false" customHeight="false" outlineLevel="0" collapsed="false">
      <c r="A442" s="1" t="s">
        <v>1988</v>
      </c>
      <c r="B442" s="1" t="s">
        <v>1989</v>
      </c>
      <c r="D442" s="1" t="s">
        <v>776</v>
      </c>
      <c r="E442" s="1" t="s">
        <v>715</v>
      </c>
      <c r="F442" s="1" t="s">
        <v>91</v>
      </c>
      <c r="G442" s="1" t="s">
        <v>38</v>
      </c>
      <c r="H442" s="1" t="s">
        <v>36</v>
      </c>
      <c r="I442" s="1" t="s">
        <v>35</v>
      </c>
      <c r="Q442" s="2" t="s">
        <v>1335</v>
      </c>
      <c r="T442" s="2" t="s">
        <v>1986</v>
      </c>
      <c r="V442" s="1" t="s">
        <v>1987</v>
      </c>
      <c r="X442" s="1" t="s">
        <v>1975</v>
      </c>
      <c r="Y442" s="1" t="s">
        <v>1983</v>
      </c>
      <c r="AB442" s="1" t="s">
        <v>45</v>
      </c>
      <c r="AC442" s="1" t="s">
        <v>45</v>
      </c>
    </row>
    <row r="443" customFormat="false" ht="13.8" hidden="false" customHeight="false" outlineLevel="0" collapsed="false">
      <c r="A443" s="1" t="s">
        <v>1990</v>
      </c>
      <c r="B443" s="1" t="s">
        <v>1991</v>
      </c>
      <c r="D443" s="1" t="s">
        <v>78</v>
      </c>
      <c r="E443" s="1" t="s">
        <v>79</v>
      </c>
      <c r="F443" s="1" t="s">
        <v>35</v>
      </c>
      <c r="G443" s="1" t="s">
        <v>911</v>
      </c>
      <c r="H443" s="1" t="s">
        <v>38</v>
      </c>
      <c r="M443" s="1" t="s">
        <v>515</v>
      </c>
      <c r="Q443" s="2" t="s">
        <v>1132</v>
      </c>
      <c r="S443" s="2" t="s">
        <v>517</v>
      </c>
      <c r="T443" s="2" t="s">
        <v>518</v>
      </c>
      <c r="V443" s="1" t="s">
        <v>711</v>
      </c>
      <c r="X443" s="1" t="s">
        <v>1975</v>
      </c>
      <c r="Y443" s="1" t="s">
        <v>1983</v>
      </c>
      <c r="AB443" s="1" t="s">
        <v>513</v>
      </c>
      <c r="AC443" s="1" t="s">
        <v>60</v>
      </c>
    </row>
    <row r="444" customFormat="false" ht="13.8" hidden="false" customHeight="false" outlineLevel="0" collapsed="false">
      <c r="A444" s="1" t="s">
        <v>1992</v>
      </c>
      <c r="B444" s="1" t="s">
        <v>1993</v>
      </c>
      <c r="D444" s="1" t="s">
        <v>78</v>
      </c>
      <c r="E444" s="1" t="s">
        <v>79</v>
      </c>
      <c r="F444" s="1" t="s">
        <v>35</v>
      </c>
      <c r="G444" s="1" t="s">
        <v>911</v>
      </c>
      <c r="H444" s="1" t="s">
        <v>38</v>
      </c>
      <c r="M444" s="1" t="s">
        <v>515</v>
      </c>
      <c r="Q444" s="2" t="s">
        <v>1132</v>
      </c>
      <c r="S444" s="2" t="s">
        <v>517</v>
      </c>
      <c r="T444" s="2" t="s">
        <v>518</v>
      </c>
      <c r="V444" s="1" t="s">
        <v>711</v>
      </c>
      <c r="X444" s="1" t="s">
        <v>1975</v>
      </c>
      <c r="Y444" s="1" t="s">
        <v>1983</v>
      </c>
      <c r="AB444" s="1" t="s">
        <v>513</v>
      </c>
      <c r="AC444" s="1" t="s">
        <v>60</v>
      </c>
    </row>
    <row r="445" customFormat="false" ht="13.8" hidden="false" customHeight="false" outlineLevel="0" collapsed="false">
      <c r="A445" s="1" t="s">
        <v>1994</v>
      </c>
      <c r="B445" s="1" t="s">
        <v>1995</v>
      </c>
      <c r="D445" s="1" t="s">
        <v>63</v>
      </c>
      <c r="E445" s="1" t="s">
        <v>35</v>
      </c>
      <c r="F445" s="1" t="s">
        <v>64</v>
      </c>
      <c r="G445" s="1" t="s">
        <v>65</v>
      </c>
      <c r="H445" s="1" t="s">
        <v>81</v>
      </c>
      <c r="I445" s="1" t="s">
        <v>38</v>
      </c>
      <c r="Q445" s="2" t="s">
        <v>1996</v>
      </c>
      <c r="S445" s="2" t="s">
        <v>1884</v>
      </c>
      <c r="T445" s="2" t="s">
        <v>1997</v>
      </c>
      <c r="V445" s="1" t="s">
        <v>117</v>
      </c>
      <c r="X445" s="1" t="s">
        <v>1975</v>
      </c>
      <c r="Y445" s="1" t="s">
        <v>97</v>
      </c>
      <c r="AB445" s="1" t="s">
        <v>45</v>
      </c>
      <c r="AC445" s="1" t="s">
        <v>45</v>
      </c>
    </row>
    <row r="446" customFormat="false" ht="13.8" hidden="false" customHeight="false" outlineLevel="0" collapsed="false">
      <c r="A446" s="1" t="s">
        <v>1998</v>
      </c>
      <c r="B446" s="1" t="s">
        <v>1999</v>
      </c>
      <c r="D446" s="1" t="s">
        <v>78</v>
      </c>
      <c r="E446" s="1" t="s">
        <v>35</v>
      </c>
      <c r="F446" s="1" t="s">
        <v>79</v>
      </c>
      <c r="G446" s="1" t="s">
        <v>81</v>
      </c>
      <c r="H446" s="1" t="s">
        <v>38</v>
      </c>
      <c r="Q446" s="2" t="s">
        <v>442</v>
      </c>
      <c r="S446" s="2" t="s">
        <v>626</v>
      </c>
      <c r="T446" s="2" t="s">
        <v>1515</v>
      </c>
      <c r="V446" s="1" t="s">
        <v>381</v>
      </c>
      <c r="X446" s="1" t="s">
        <v>1975</v>
      </c>
      <c r="Y446" s="1" t="s">
        <v>97</v>
      </c>
      <c r="AB446" s="1" t="s">
        <v>2000</v>
      </c>
      <c r="AC446" s="1" t="s">
        <v>142</v>
      </c>
    </row>
    <row r="447" customFormat="false" ht="13.8" hidden="false" customHeight="false" outlineLevel="0" collapsed="false">
      <c r="A447" s="1" t="s">
        <v>2001</v>
      </c>
      <c r="B447" s="1" t="s">
        <v>2002</v>
      </c>
      <c r="D447" s="1" t="s">
        <v>34</v>
      </c>
      <c r="T447" s="2" t="s">
        <v>2003</v>
      </c>
      <c r="V447" s="1" t="s">
        <v>2004</v>
      </c>
      <c r="X447" s="1" t="s">
        <v>1975</v>
      </c>
      <c r="Y447" s="1" t="s">
        <v>97</v>
      </c>
    </row>
    <row r="448" customFormat="false" ht="13.8" hidden="false" customHeight="false" outlineLevel="0" collapsed="false">
      <c r="A448" s="1" t="s">
        <v>2005</v>
      </c>
      <c r="B448" s="1" t="s">
        <v>2006</v>
      </c>
      <c r="D448" s="1" t="s">
        <v>34</v>
      </c>
      <c r="T448" s="2" t="s">
        <v>2007</v>
      </c>
      <c r="V448" s="1" t="s">
        <v>2004</v>
      </c>
      <c r="X448" s="1" t="s">
        <v>1975</v>
      </c>
      <c r="Y448" s="1" t="s">
        <v>97</v>
      </c>
    </row>
    <row r="449" customFormat="false" ht="13.8" hidden="false" customHeight="false" outlineLevel="0" collapsed="false">
      <c r="A449" s="1" t="s">
        <v>2008</v>
      </c>
      <c r="B449" s="1" t="s">
        <v>2009</v>
      </c>
      <c r="D449" s="1" t="s">
        <v>78</v>
      </c>
      <c r="T449" s="2" t="s">
        <v>2010</v>
      </c>
      <c r="V449" s="1" t="s">
        <v>2004</v>
      </c>
      <c r="X449" s="1" t="s">
        <v>1975</v>
      </c>
      <c r="Y449" s="1" t="s">
        <v>97</v>
      </c>
    </row>
    <row r="450" customFormat="false" ht="13.8" hidden="false" customHeight="false" outlineLevel="0" collapsed="false">
      <c r="A450" s="1" t="s">
        <v>2011</v>
      </c>
      <c r="B450" s="1" t="s">
        <v>2012</v>
      </c>
      <c r="D450" s="1" t="s">
        <v>78</v>
      </c>
      <c r="T450" s="2" t="s">
        <v>2013</v>
      </c>
      <c r="V450" s="1" t="s">
        <v>48</v>
      </c>
      <c r="X450" s="1" t="s">
        <v>1975</v>
      </c>
      <c r="Y450" s="1" t="s">
        <v>97</v>
      </c>
    </row>
    <row r="451" customFormat="false" ht="13.8" hidden="false" customHeight="false" outlineLevel="0" collapsed="false">
      <c r="A451" s="1" t="s">
        <v>2014</v>
      </c>
      <c r="B451" s="1" t="s">
        <v>2015</v>
      </c>
      <c r="D451" s="1" t="s">
        <v>78</v>
      </c>
      <c r="T451" s="2" t="s">
        <v>2016</v>
      </c>
      <c r="V451" s="1" t="s">
        <v>208</v>
      </c>
      <c r="X451" s="1" t="s">
        <v>1975</v>
      </c>
      <c r="Y451" s="1" t="s">
        <v>97</v>
      </c>
    </row>
    <row r="452" customFormat="false" ht="13.8" hidden="false" customHeight="false" outlineLevel="0" collapsed="false">
      <c r="A452" s="1" t="s">
        <v>2017</v>
      </c>
      <c r="B452" s="1" t="s">
        <v>2018</v>
      </c>
      <c r="D452" s="1" t="s">
        <v>78</v>
      </c>
      <c r="T452" s="2" t="s">
        <v>2019</v>
      </c>
      <c r="V452" s="1" t="s">
        <v>2020</v>
      </c>
      <c r="X452" s="1" t="s">
        <v>1975</v>
      </c>
      <c r="Y452" s="1" t="s">
        <v>97</v>
      </c>
    </row>
    <row r="453" customFormat="false" ht="13.8" hidden="false" customHeight="false" outlineLevel="0" collapsed="false">
      <c r="A453" s="1" t="s">
        <v>2021</v>
      </c>
      <c r="B453" s="1" t="s">
        <v>2022</v>
      </c>
      <c r="D453" s="1" t="s">
        <v>78</v>
      </c>
      <c r="T453" s="2" t="s">
        <v>2023</v>
      </c>
      <c r="V453" s="1" t="s">
        <v>48</v>
      </c>
      <c r="X453" s="1" t="s">
        <v>1975</v>
      </c>
      <c r="Y453" s="1" t="s">
        <v>97</v>
      </c>
    </row>
    <row r="454" customFormat="false" ht="13.8" hidden="false" customHeight="false" outlineLevel="0" collapsed="false">
      <c r="A454" s="1" t="s">
        <v>2024</v>
      </c>
      <c r="B454" s="1" t="s">
        <v>2025</v>
      </c>
      <c r="D454" s="1" t="s">
        <v>225</v>
      </c>
      <c r="E454" s="1" t="s">
        <v>193</v>
      </c>
      <c r="T454" s="2" t="s">
        <v>658</v>
      </c>
      <c r="V454" s="1" t="s">
        <v>2026</v>
      </c>
      <c r="X454" s="1" t="s">
        <v>2027</v>
      </c>
      <c r="Y454" s="1" t="s">
        <v>2027</v>
      </c>
      <c r="AB454" s="1" t="s">
        <v>45</v>
      </c>
      <c r="AC454" s="1" t="s">
        <v>45</v>
      </c>
    </row>
    <row r="455" customFormat="false" ht="13.8" hidden="false" customHeight="false" outlineLevel="0" collapsed="false">
      <c r="A455" s="1" t="s">
        <v>2028</v>
      </c>
      <c r="B455" s="1" t="s">
        <v>2029</v>
      </c>
      <c r="D455" s="1" t="s">
        <v>433</v>
      </c>
      <c r="E455" s="1" t="s">
        <v>74</v>
      </c>
      <c r="F455" s="1" t="s">
        <v>701</v>
      </c>
      <c r="G455" s="1" t="s">
        <v>38</v>
      </c>
      <c r="T455" s="2" t="s">
        <v>808</v>
      </c>
      <c r="V455" s="1" t="s">
        <v>283</v>
      </c>
      <c r="X455" s="1" t="s">
        <v>2027</v>
      </c>
      <c r="Y455" s="1" t="s">
        <v>2027</v>
      </c>
      <c r="AB455" s="1" t="s">
        <v>45</v>
      </c>
      <c r="AC455" s="1" t="s">
        <v>45</v>
      </c>
    </row>
    <row r="456" customFormat="false" ht="13.8" hidden="false" customHeight="false" outlineLevel="0" collapsed="false">
      <c r="A456" s="1" t="s">
        <v>2030</v>
      </c>
      <c r="B456" s="1" t="s">
        <v>2031</v>
      </c>
      <c r="D456" s="1" t="s">
        <v>433</v>
      </c>
      <c r="E456" s="1" t="s">
        <v>74</v>
      </c>
      <c r="F456" s="1" t="s">
        <v>38</v>
      </c>
      <c r="M456" s="1" t="s">
        <v>2032</v>
      </c>
      <c r="Q456" s="1" t="s">
        <v>45</v>
      </c>
      <c r="T456" s="2" t="s">
        <v>2033</v>
      </c>
      <c r="V456" s="1" t="s">
        <v>117</v>
      </c>
      <c r="X456" s="1" t="s">
        <v>2027</v>
      </c>
      <c r="Y456" s="1" t="s">
        <v>2034</v>
      </c>
      <c r="AB456" s="1" t="s">
        <v>45</v>
      </c>
      <c r="AC456" s="1" t="s">
        <v>45</v>
      </c>
    </row>
    <row r="457" customFormat="false" ht="13.8" hidden="false" customHeight="false" outlineLevel="0" collapsed="false">
      <c r="A457" s="1" t="s">
        <v>2035</v>
      </c>
      <c r="B457" s="1" t="s">
        <v>2036</v>
      </c>
      <c r="D457" s="1" t="s">
        <v>78</v>
      </c>
      <c r="E457" s="1" t="s">
        <v>79</v>
      </c>
      <c r="F457" s="1" t="s">
        <v>80</v>
      </c>
      <c r="G457" s="1" t="s">
        <v>35</v>
      </c>
      <c r="H457" s="1" t="s">
        <v>701</v>
      </c>
      <c r="I457" s="1" t="s">
        <v>38</v>
      </c>
      <c r="Q457" s="1" t="s">
        <v>45</v>
      </c>
      <c r="T457" s="2" t="s">
        <v>1858</v>
      </c>
      <c r="V457" s="1" t="s">
        <v>528</v>
      </c>
      <c r="X457" s="1" t="s">
        <v>2027</v>
      </c>
      <c r="Y457" s="1" t="s">
        <v>2037</v>
      </c>
      <c r="AB457" s="1" t="s">
        <v>45</v>
      </c>
      <c r="AC457" s="1" t="s">
        <v>45</v>
      </c>
    </row>
    <row r="458" customFormat="false" ht="13.8" hidden="false" customHeight="false" outlineLevel="0" collapsed="false">
      <c r="A458" s="1" t="s">
        <v>2038</v>
      </c>
      <c r="B458" s="1" t="s">
        <v>2039</v>
      </c>
      <c r="D458" s="1" t="s">
        <v>63</v>
      </c>
      <c r="Q458" s="1" t="s">
        <v>45</v>
      </c>
      <c r="T458" s="2" t="s">
        <v>2040</v>
      </c>
      <c r="V458" s="1" t="s">
        <v>2041</v>
      </c>
      <c r="X458" s="1" t="s">
        <v>2027</v>
      </c>
      <c r="Y458" s="1" t="s">
        <v>2042</v>
      </c>
      <c r="AB458" s="1" t="s">
        <v>45</v>
      </c>
      <c r="AC458" s="1" t="s">
        <v>45</v>
      </c>
    </row>
    <row r="459" customFormat="false" ht="13.8" hidden="false" customHeight="false" outlineLevel="0" collapsed="false">
      <c r="A459" s="1" t="s">
        <v>2043</v>
      </c>
      <c r="B459" s="1" t="s">
        <v>2044</v>
      </c>
      <c r="D459" s="1" t="s">
        <v>63</v>
      </c>
      <c r="T459" s="2" t="s">
        <v>2045</v>
      </c>
      <c r="V459" s="1" t="s">
        <v>2046</v>
      </c>
      <c r="X459" s="1" t="s">
        <v>2027</v>
      </c>
      <c r="Y459" s="1" t="s">
        <v>2027</v>
      </c>
    </row>
    <row r="460" customFormat="false" ht="13.8" hidden="false" customHeight="false" outlineLevel="0" collapsed="false">
      <c r="A460" s="1" t="s">
        <v>2047</v>
      </c>
      <c r="B460" s="1" t="s">
        <v>2048</v>
      </c>
      <c r="D460" s="1" t="s">
        <v>63</v>
      </c>
      <c r="T460" s="2" t="s">
        <v>2049</v>
      </c>
      <c r="V460" s="1" t="s">
        <v>133</v>
      </c>
      <c r="X460" s="1" t="s">
        <v>2027</v>
      </c>
      <c r="Y460" s="1" t="s">
        <v>2027</v>
      </c>
    </row>
    <row r="461" customFormat="false" ht="13.8" hidden="false" customHeight="false" outlineLevel="0" collapsed="false">
      <c r="A461" s="1" t="s">
        <v>2050</v>
      </c>
      <c r="B461" s="1" t="s">
        <v>2051</v>
      </c>
      <c r="D461" s="1" t="s">
        <v>225</v>
      </c>
      <c r="E461" s="1" t="s">
        <v>35</v>
      </c>
      <c r="F461" s="1" t="s">
        <v>79</v>
      </c>
      <c r="G461" s="1" t="s">
        <v>477</v>
      </c>
      <c r="H461" s="1" t="s">
        <v>81</v>
      </c>
      <c r="M461" s="1" t="s">
        <v>2052</v>
      </c>
      <c r="N461" s="1" t="s">
        <v>2053</v>
      </c>
      <c r="O461" s="1" t="s">
        <v>2054</v>
      </c>
      <c r="Q461" s="2" t="s">
        <v>2055</v>
      </c>
      <c r="T461" s="2" t="s">
        <v>2056</v>
      </c>
      <c r="V461" s="1" t="s">
        <v>332</v>
      </c>
      <c r="X461" s="1" t="s">
        <v>2057</v>
      </c>
      <c r="Y461" s="1" t="s">
        <v>97</v>
      </c>
      <c r="AB461" s="1" t="s">
        <v>45</v>
      </c>
      <c r="AC461" s="1" t="s">
        <v>45</v>
      </c>
      <c r="AF461" s="1" t="s">
        <v>2058</v>
      </c>
    </row>
    <row r="462" customFormat="false" ht="13.8" hidden="false" customHeight="false" outlineLevel="0" collapsed="false">
      <c r="A462" s="1" t="s">
        <v>2059</v>
      </c>
      <c r="B462" s="1" t="s">
        <v>2060</v>
      </c>
      <c r="D462" s="1" t="s">
        <v>225</v>
      </c>
      <c r="E462" s="1" t="s">
        <v>35</v>
      </c>
      <c r="F462" s="1" t="s">
        <v>79</v>
      </c>
      <c r="G462" s="1" t="s">
        <v>477</v>
      </c>
      <c r="H462" s="1" t="s">
        <v>81</v>
      </c>
      <c r="M462" s="1" t="s">
        <v>2052</v>
      </c>
      <c r="N462" s="1" t="s">
        <v>2061</v>
      </c>
      <c r="O462" s="1" t="s">
        <v>2062</v>
      </c>
      <c r="Q462" s="2" t="s">
        <v>581</v>
      </c>
      <c r="T462" s="2" t="s">
        <v>2063</v>
      </c>
      <c r="V462" s="1" t="s">
        <v>42</v>
      </c>
      <c r="X462" s="1" t="s">
        <v>2057</v>
      </c>
      <c r="Y462" s="1" t="s">
        <v>2064</v>
      </c>
      <c r="AB462" s="1" t="s">
        <v>45</v>
      </c>
      <c r="AC462" s="1" t="s">
        <v>45</v>
      </c>
    </row>
    <row r="463" customFormat="false" ht="13.8" hidden="false" customHeight="false" outlineLevel="0" collapsed="false">
      <c r="A463" s="1" t="s">
        <v>2065</v>
      </c>
      <c r="B463" s="1" t="s">
        <v>2066</v>
      </c>
      <c r="D463" s="1" t="s">
        <v>225</v>
      </c>
      <c r="E463" s="1" t="s">
        <v>35</v>
      </c>
      <c r="F463" s="1" t="s">
        <v>1244</v>
      </c>
      <c r="G463" s="1" t="s">
        <v>101</v>
      </c>
      <c r="H463" s="1" t="s">
        <v>81</v>
      </c>
      <c r="M463" s="1" t="s">
        <v>2052</v>
      </c>
      <c r="N463" s="1" t="s">
        <v>2067</v>
      </c>
      <c r="Q463" s="2" t="s">
        <v>1966</v>
      </c>
      <c r="T463" s="2" t="s">
        <v>2068</v>
      </c>
      <c r="V463" s="1" t="s">
        <v>682</v>
      </c>
      <c r="X463" s="1" t="s">
        <v>2057</v>
      </c>
      <c r="Y463" s="1" t="s">
        <v>2057</v>
      </c>
      <c r="AB463" s="1" t="s">
        <v>45</v>
      </c>
      <c r="AC463" s="1" t="s">
        <v>45</v>
      </c>
    </row>
    <row r="464" customFormat="false" ht="13.8" hidden="false" customHeight="false" outlineLevel="0" collapsed="false">
      <c r="A464" s="1" t="s">
        <v>2069</v>
      </c>
      <c r="B464" s="1" t="s">
        <v>2070</v>
      </c>
      <c r="D464" s="1" t="s">
        <v>783</v>
      </c>
      <c r="T464" s="2" t="s">
        <v>938</v>
      </c>
      <c r="V464" s="1" t="s">
        <v>1005</v>
      </c>
      <c r="X464" s="1" t="s">
        <v>2071</v>
      </c>
      <c r="Y464" s="1" t="s">
        <v>2072</v>
      </c>
    </row>
    <row r="465" customFormat="false" ht="13.8" hidden="false" customHeight="false" outlineLevel="0" collapsed="false">
      <c r="A465" s="1" t="s">
        <v>2073</v>
      </c>
      <c r="B465" s="1" t="s">
        <v>2074</v>
      </c>
      <c r="D465" s="1" t="s">
        <v>78</v>
      </c>
      <c r="E465" s="1" t="s">
        <v>38</v>
      </c>
      <c r="F465" s="1" t="s">
        <v>35</v>
      </c>
      <c r="G465" s="1" t="s">
        <v>79</v>
      </c>
      <c r="H465" s="1" t="s">
        <v>212</v>
      </c>
      <c r="T465" s="2" t="s">
        <v>989</v>
      </c>
      <c r="V465" s="1" t="s">
        <v>45</v>
      </c>
      <c r="X465" s="1" t="s">
        <v>2075</v>
      </c>
      <c r="Y465" s="1" t="s">
        <v>2075</v>
      </c>
      <c r="AB465" s="1" t="s">
        <v>513</v>
      </c>
      <c r="AC465" s="1" t="s">
        <v>60</v>
      </c>
    </row>
    <row r="466" customFormat="false" ht="13.8" hidden="false" customHeight="false" outlineLevel="0" collapsed="false">
      <c r="A466" s="1" t="s">
        <v>2076</v>
      </c>
      <c r="B466" s="1" t="s">
        <v>2077</v>
      </c>
      <c r="D466" s="1" t="s">
        <v>78</v>
      </c>
      <c r="E466" s="1" t="s">
        <v>38</v>
      </c>
      <c r="F466" s="1" t="s">
        <v>35</v>
      </c>
      <c r="G466" s="1" t="s">
        <v>65</v>
      </c>
      <c r="H466" s="1" t="s">
        <v>64</v>
      </c>
      <c r="I466" s="1" t="s">
        <v>79</v>
      </c>
      <c r="J466" s="1" t="s">
        <v>212</v>
      </c>
      <c r="T466" s="2" t="s">
        <v>989</v>
      </c>
      <c r="V466" s="1" t="s">
        <v>45</v>
      </c>
      <c r="X466" s="1" t="s">
        <v>2075</v>
      </c>
      <c r="Y466" s="1" t="s">
        <v>2075</v>
      </c>
      <c r="AB466" s="1" t="s">
        <v>513</v>
      </c>
      <c r="AC466" s="1" t="s">
        <v>60</v>
      </c>
    </row>
    <row r="467" customFormat="false" ht="13.8" hidden="false" customHeight="false" outlineLevel="0" collapsed="false">
      <c r="A467" s="1" t="s">
        <v>2078</v>
      </c>
      <c r="B467" s="1" t="s">
        <v>2079</v>
      </c>
      <c r="D467" s="1" t="s">
        <v>78</v>
      </c>
      <c r="E467" s="1" t="s">
        <v>38</v>
      </c>
      <c r="F467" s="1" t="s">
        <v>35</v>
      </c>
      <c r="G467" s="1" t="s">
        <v>65</v>
      </c>
      <c r="H467" s="1" t="s">
        <v>64</v>
      </c>
      <c r="I467" s="1" t="s">
        <v>79</v>
      </c>
      <c r="J467" s="1" t="s">
        <v>212</v>
      </c>
      <c r="T467" s="2" t="s">
        <v>989</v>
      </c>
      <c r="V467" s="1" t="s">
        <v>45</v>
      </c>
      <c r="X467" s="1" t="s">
        <v>2075</v>
      </c>
      <c r="Y467" s="1" t="s">
        <v>2075</v>
      </c>
      <c r="AB467" s="1" t="s">
        <v>513</v>
      </c>
      <c r="AC467" s="1" t="s">
        <v>60</v>
      </c>
    </row>
    <row r="468" customFormat="false" ht="13.8" hidden="false" customHeight="false" outlineLevel="0" collapsed="false">
      <c r="A468" s="1" t="s">
        <v>2080</v>
      </c>
      <c r="B468" s="1" t="s">
        <v>2081</v>
      </c>
      <c r="D468" s="1" t="s">
        <v>78</v>
      </c>
      <c r="E468" s="1" t="s">
        <v>38</v>
      </c>
      <c r="F468" s="1" t="s">
        <v>35</v>
      </c>
      <c r="G468" s="1" t="s">
        <v>80</v>
      </c>
      <c r="H468" s="1" t="s">
        <v>79</v>
      </c>
      <c r="I468" s="1" t="s">
        <v>212</v>
      </c>
      <c r="T468" s="2" t="s">
        <v>989</v>
      </c>
      <c r="V468" s="1" t="s">
        <v>45</v>
      </c>
      <c r="X468" s="1" t="s">
        <v>2075</v>
      </c>
      <c r="Y468" s="1" t="s">
        <v>2075</v>
      </c>
      <c r="AB468" s="1" t="s">
        <v>513</v>
      </c>
      <c r="AC468" s="1" t="s">
        <v>60</v>
      </c>
    </row>
    <row r="469" customFormat="false" ht="13.8" hidden="false" customHeight="false" outlineLevel="0" collapsed="false">
      <c r="A469" s="1" t="s">
        <v>2082</v>
      </c>
      <c r="B469" s="1" t="s">
        <v>2083</v>
      </c>
      <c r="D469" s="1" t="s">
        <v>78</v>
      </c>
      <c r="T469" s="2" t="s">
        <v>395</v>
      </c>
      <c r="V469" s="1" t="s">
        <v>1319</v>
      </c>
      <c r="X469" s="1" t="s">
        <v>2075</v>
      </c>
      <c r="Y469" s="1" t="s">
        <v>2075</v>
      </c>
    </row>
    <row r="470" customFormat="false" ht="13.8" hidden="false" customHeight="false" outlineLevel="0" collapsed="false">
      <c r="A470" s="1" t="s">
        <v>2084</v>
      </c>
      <c r="B470" s="1" t="s">
        <v>2083</v>
      </c>
      <c r="D470" s="1" t="s">
        <v>78</v>
      </c>
      <c r="T470" s="2" t="s">
        <v>1777</v>
      </c>
      <c r="V470" s="1" t="s">
        <v>2085</v>
      </c>
      <c r="X470" s="1" t="s">
        <v>2075</v>
      </c>
      <c r="Y470" s="1" t="s">
        <v>2075</v>
      </c>
    </row>
    <row r="471" customFormat="false" ht="13.8" hidden="false" customHeight="false" outlineLevel="0" collapsed="false">
      <c r="A471" s="1" t="s">
        <v>2086</v>
      </c>
      <c r="B471" s="1" t="s">
        <v>2087</v>
      </c>
      <c r="D471" s="1" t="s">
        <v>78</v>
      </c>
      <c r="E471" s="1" t="s">
        <v>38</v>
      </c>
      <c r="F471" s="1" t="s">
        <v>35</v>
      </c>
      <c r="G471" s="1" t="s">
        <v>64</v>
      </c>
      <c r="H471" s="1" t="s">
        <v>65</v>
      </c>
      <c r="I471" s="1" t="s">
        <v>79</v>
      </c>
      <c r="J471" s="1" t="s">
        <v>212</v>
      </c>
      <c r="K471" s="1" t="s">
        <v>66</v>
      </c>
      <c r="T471" s="2" t="s">
        <v>2088</v>
      </c>
      <c r="V471" s="1" t="s">
        <v>1236</v>
      </c>
      <c r="X471" s="1" t="s">
        <v>2075</v>
      </c>
      <c r="Y471" s="1" t="s">
        <v>2075</v>
      </c>
    </row>
    <row r="472" customFormat="false" ht="13.8" hidden="false" customHeight="false" outlineLevel="0" collapsed="false">
      <c r="A472" s="1" t="s">
        <v>2089</v>
      </c>
      <c r="B472" s="1" t="s">
        <v>2090</v>
      </c>
      <c r="D472" s="1" t="s">
        <v>78</v>
      </c>
      <c r="E472" s="1" t="s">
        <v>38</v>
      </c>
      <c r="F472" s="1" t="s">
        <v>35</v>
      </c>
      <c r="G472" s="1" t="s">
        <v>64</v>
      </c>
      <c r="H472" s="1" t="s">
        <v>65</v>
      </c>
      <c r="I472" s="1" t="s">
        <v>79</v>
      </c>
      <c r="J472" s="1" t="s">
        <v>212</v>
      </c>
      <c r="K472" s="1" t="s">
        <v>66</v>
      </c>
      <c r="T472" s="2" t="s">
        <v>2088</v>
      </c>
      <c r="V472" s="1" t="s">
        <v>1236</v>
      </c>
      <c r="X472" s="1" t="s">
        <v>2075</v>
      </c>
      <c r="Y472" s="1" t="s">
        <v>2075</v>
      </c>
    </row>
    <row r="473" customFormat="false" ht="13.8" hidden="false" customHeight="false" outlineLevel="0" collapsed="false">
      <c r="A473" s="1" t="s">
        <v>2091</v>
      </c>
      <c r="B473" s="1" t="s">
        <v>2092</v>
      </c>
      <c r="D473" s="1" t="s">
        <v>78</v>
      </c>
      <c r="E473" s="1" t="s">
        <v>38</v>
      </c>
      <c r="F473" s="1" t="s">
        <v>35</v>
      </c>
      <c r="G473" s="1" t="s">
        <v>64</v>
      </c>
      <c r="H473" s="1" t="s">
        <v>65</v>
      </c>
      <c r="I473" s="1" t="s">
        <v>79</v>
      </c>
      <c r="J473" s="1" t="s">
        <v>212</v>
      </c>
      <c r="K473" s="1" t="s">
        <v>66</v>
      </c>
      <c r="T473" s="2" t="s">
        <v>2088</v>
      </c>
      <c r="V473" s="1" t="s">
        <v>1236</v>
      </c>
      <c r="X473" s="1" t="s">
        <v>2075</v>
      </c>
      <c r="Y473" s="1" t="s">
        <v>2075</v>
      </c>
    </row>
    <row r="474" customFormat="false" ht="13.8" hidden="false" customHeight="false" outlineLevel="0" collapsed="false">
      <c r="A474" s="1" t="s">
        <v>2093</v>
      </c>
      <c r="B474" s="1" t="s">
        <v>2094</v>
      </c>
      <c r="D474" s="1" t="s">
        <v>78</v>
      </c>
      <c r="E474" s="1" t="s">
        <v>38</v>
      </c>
      <c r="F474" s="1" t="s">
        <v>35</v>
      </c>
      <c r="G474" s="1" t="s">
        <v>80</v>
      </c>
      <c r="H474" s="1" t="s">
        <v>79</v>
      </c>
      <c r="I474" s="1" t="s">
        <v>212</v>
      </c>
      <c r="T474" s="2" t="s">
        <v>2088</v>
      </c>
      <c r="V474" s="1" t="s">
        <v>1236</v>
      </c>
      <c r="X474" s="1" t="s">
        <v>2075</v>
      </c>
      <c r="Y474" s="1" t="s">
        <v>2075</v>
      </c>
    </row>
    <row r="475" customFormat="false" ht="13.8" hidden="false" customHeight="false" outlineLevel="0" collapsed="false">
      <c r="A475" s="1" t="s">
        <v>2095</v>
      </c>
      <c r="B475" s="1" t="s">
        <v>2096</v>
      </c>
      <c r="D475" s="1" t="s">
        <v>78</v>
      </c>
      <c r="E475" s="1" t="s">
        <v>79</v>
      </c>
      <c r="F475" s="1" t="s">
        <v>80</v>
      </c>
      <c r="G475" s="1" t="s">
        <v>35</v>
      </c>
      <c r="H475" s="1" t="s">
        <v>38</v>
      </c>
      <c r="T475" s="2" t="s">
        <v>562</v>
      </c>
      <c r="V475" s="1" t="s">
        <v>332</v>
      </c>
      <c r="X475" s="1" t="s">
        <v>2097</v>
      </c>
      <c r="Y475" s="1" t="s">
        <v>97</v>
      </c>
    </row>
    <row r="476" customFormat="false" ht="13.8" hidden="false" customHeight="false" outlineLevel="0" collapsed="false">
      <c r="A476" s="1" t="s">
        <v>2098</v>
      </c>
      <c r="B476" s="1" t="s">
        <v>2099</v>
      </c>
      <c r="D476" s="1" t="s">
        <v>225</v>
      </c>
      <c r="E476" s="1" t="s">
        <v>79</v>
      </c>
      <c r="F476" s="1" t="s">
        <v>36</v>
      </c>
      <c r="G476" s="1" t="s">
        <v>66</v>
      </c>
      <c r="H476" s="1" t="s">
        <v>35</v>
      </c>
      <c r="I476" s="1" t="s">
        <v>38</v>
      </c>
      <c r="T476" s="2" t="s">
        <v>2100</v>
      </c>
      <c r="V476" s="1" t="s">
        <v>164</v>
      </c>
      <c r="X476" s="1" t="s">
        <v>2097</v>
      </c>
      <c r="Y476" s="1" t="s">
        <v>97</v>
      </c>
    </row>
    <row r="477" customFormat="false" ht="13.8" hidden="false" customHeight="false" outlineLevel="0" collapsed="false">
      <c r="A477" s="1" t="s">
        <v>2101</v>
      </c>
      <c r="B477" s="1" t="s">
        <v>2102</v>
      </c>
      <c r="D477" s="1" t="s">
        <v>452</v>
      </c>
      <c r="T477" s="2" t="s">
        <v>2103</v>
      </c>
      <c r="V477" s="1" t="s">
        <v>117</v>
      </c>
      <c r="X477" s="1" t="s">
        <v>2097</v>
      </c>
      <c r="Y477" s="1" t="s">
        <v>97</v>
      </c>
    </row>
    <row r="478" customFormat="false" ht="13.8" hidden="false" customHeight="false" outlineLevel="0" collapsed="false">
      <c r="A478" s="1" t="s">
        <v>2104</v>
      </c>
      <c r="B478" s="1" t="s">
        <v>2105</v>
      </c>
      <c r="D478" s="1" t="s">
        <v>225</v>
      </c>
      <c r="E478" s="1" t="s">
        <v>701</v>
      </c>
      <c r="F478" s="1" t="s">
        <v>38</v>
      </c>
      <c r="T478" s="2" t="s">
        <v>2106</v>
      </c>
      <c r="V478" s="1" t="s">
        <v>283</v>
      </c>
      <c r="X478" s="1" t="s">
        <v>2097</v>
      </c>
      <c r="Y478" s="1" t="s">
        <v>97</v>
      </c>
    </row>
    <row r="479" customFormat="false" ht="13.8" hidden="false" customHeight="false" outlineLevel="0" collapsed="false">
      <c r="A479" s="1" t="s">
        <v>2107</v>
      </c>
      <c r="B479" s="1" t="s">
        <v>2108</v>
      </c>
      <c r="D479" s="1" t="s">
        <v>78</v>
      </c>
      <c r="E479" s="1" t="s">
        <v>79</v>
      </c>
      <c r="F479" s="1" t="s">
        <v>36</v>
      </c>
      <c r="G479" s="1" t="s">
        <v>35</v>
      </c>
      <c r="H479" s="1" t="s">
        <v>38</v>
      </c>
      <c r="T479" s="2" t="s">
        <v>2109</v>
      </c>
      <c r="V479" s="1" t="s">
        <v>48</v>
      </c>
      <c r="X479" s="1" t="s">
        <v>2097</v>
      </c>
      <c r="Y479" s="1" t="s">
        <v>97</v>
      </c>
    </row>
    <row r="480" customFormat="false" ht="13.8" hidden="false" customHeight="false" outlineLevel="0" collapsed="false">
      <c r="A480" s="1" t="s">
        <v>2110</v>
      </c>
      <c r="B480" s="1" t="s">
        <v>2111</v>
      </c>
      <c r="D480" s="1" t="s">
        <v>78</v>
      </c>
      <c r="E480" s="1" t="s">
        <v>79</v>
      </c>
      <c r="F480" s="1" t="s">
        <v>36</v>
      </c>
      <c r="G480" s="1" t="s">
        <v>35</v>
      </c>
      <c r="H480" s="1" t="s">
        <v>38</v>
      </c>
      <c r="T480" s="2" t="s">
        <v>1515</v>
      </c>
      <c r="V480" s="1" t="s">
        <v>48</v>
      </c>
      <c r="X480" s="1" t="s">
        <v>2097</v>
      </c>
      <c r="Y480" s="1" t="s">
        <v>97</v>
      </c>
    </row>
    <row r="481" customFormat="false" ht="13.8" hidden="false" customHeight="false" outlineLevel="0" collapsed="false">
      <c r="A481" s="1" t="s">
        <v>2112</v>
      </c>
      <c r="B481" s="1" t="s">
        <v>2113</v>
      </c>
      <c r="D481" s="1" t="s">
        <v>78</v>
      </c>
      <c r="E481" s="1" t="s">
        <v>361</v>
      </c>
      <c r="F481" s="1" t="s">
        <v>79</v>
      </c>
      <c r="T481" s="2" t="s">
        <v>2114</v>
      </c>
      <c r="V481" s="1" t="s">
        <v>322</v>
      </c>
      <c r="X481" s="1" t="s">
        <v>2097</v>
      </c>
      <c r="Y481" s="1" t="s">
        <v>97</v>
      </c>
    </row>
    <row r="482" customFormat="false" ht="13.8" hidden="false" customHeight="false" outlineLevel="0" collapsed="false">
      <c r="A482" s="1" t="s">
        <v>2115</v>
      </c>
      <c r="B482" s="1" t="s">
        <v>2116</v>
      </c>
      <c r="D482" s="1" t="s">
        <v>1947</v>
      </c>
      <c r="E482" s="1" t="s">
        <v>1948</v>
      </c>
      <c r="F482" s="1" t="s">
        <v>37</v>
      </c>
      <c r="G482" s="1" t="s">
        <v>38</v>
      </c>
      <c r="Q482" s="2" t="s">
        <v>927</v>
      </c>
      <c r="S482" s="2" t="s">
        <v>978</v>
      </c>
      <c r="T482" s="2" t="s">
        <v>978</v>
      </c>
      <c r="V482" s="1" t="s">
        <v>42</v>
      </c>
      <c r="X482" s="1" t="s">
        <v>2097</v>
      </c>
      <c r="Y482" s="1" t="s">
        <v>45</v>
      </c>
    </row>
    <row r="483" customFormat="false" ht="13.8" hidden="false" customHeight="false" outlineLevel="0" collapsed="false">
      <c r="A483" s="1" t="s">
        <v>2117</v>
      </c>
      <c r="B483" s="1" t="s">
        <v>2118</v>
      </c>
      <c r="D483" s="1" t="s">
        <v>433</v>
      </c>
      <c r="E483" s="1" t="s">
        <v>113</v>
      </c>
      <c r="F483" s="1" t="s">
        <v>74</v>
      </c>
      <c r="G483" s="1" t="s">
        <v>491</v>
      </c>
      <c r="H483" s="1" t="s">
        <v>38</v>
      </c>
      <c r="I483" s="1" t="s">
        <v>361</v>
      </c>
      <c r="Q483" s="2" t="s">
        <v>1100</v>
      </c>
      <c r="S483" s="2" t="s">
        <v>2119</v>
      </c>
      <c r="T483" s="2" t="s">
        <v>2119</v>
      </c>
      <c r="V483" s="1" t="s">
        <v>261</v>
      </c>
      <c r="X483" s="1" t="s">
        <v>2097</v>
      </c>
      <c r="Y483" s="1" t="s">
        <v>45</v>
      </c>
    </row>
    <row r="484" customFormat="false" ht="13.8" hidden="false" customHeight="false" outlineLevel="0" collapsed="false">
      <c r="A484" s="1" t="s">
        <v>2120</v>
      </c>
      <c r="B484" s="1" t="s">
        <v>2121</v>
      </c>
      <c r="D484" s="1" t="s">
        <v>78</v>
      </c>
      <c r="E484" s="1" t="s">
        <v>790</v>
      </c>
      <c r="F484" s="1" t="s">
        <v>80</v>
      </c>
      <c r="G484" s="1" t="s">
        <v>79</v>
      </c>
      <c r="H484" s="1" t="s">
        <v>361</v>
      </c>
      <c r="Q484" s="2" t="s">
        <v>2122</v>
      </c>
      <c r="S484" s="2" t="s">
        <v>1335</v>
      </c>
      <c r="T484" s="2" t="s">
        <v>1335</v>
      </c>
      <c r="V484" s="1" t="s">
        <v>42</v>
      </c>
      <c r="X484" s="1" t="s">
        <v>2097</v>
      </c>
      <c r="Y484" s="1" t="s">
        <v>45</v>
      </c>
    </row>
    <row r="485" customFormat="false" ht="13.8" hidden="false" customHeight="false" outlineLevel="0" collapsed="false">
      <c r="A485" s="1" t="s">
        <v>2123</v>
      </c>
      <c r="B485" s="1" t="s">
        <v>2124</v>
      </c>
      <c r="D485" s="1" t="s">
        <v>225</v>
      </c>
      <c r="Q485" s="1" t="s">
        <v>45</v>
      </c>
      <c r="T485" s="2" t="s">
        <v>2125</v>
      </c>
      <c r="V485" s="1" t="s">
        <v>711</v>
      </c>
      <c r="X485" s="1" t="s">
        <v>2126</v>
      </c>
      <c r="Y485" s="1" t="s">
        <v>449</v>
      </c>
      <c r="AB485" s="1" t="s">
        <v>45</v>
      </c>
      <c r="AC485" s="1" t="s">
        <v>45</v>
      </c>
    </row>
    <row r="486" customFormat="false" ht="13.8" hidden="false" customHeight="false" outlineLevel="0" collapsed="false">
      <c r="A486" s="1" t="s">
        <v>2127</v>
      </c>
      <c r="B486" s="1" t="s">
        <v>2128</v>
      </c>
      <c r="D486" s="1" t="s">
        <v>709</v>
      </c>
      <c r="T486" s="2" t="s">
        <v>2129</v>
      </c>
      <c r="V486" s="1" t="s">
        <v>772</v>
      </c>
      <c r="X486" s="1" t="s">
        <v>2130</v>
      </c>
      <c r="Y486" s="1" t="s">
        <v>2131</v>
      </c>
    </row>
    <row r="487" customFormat="false" ht="13.8" hidden="false" customHeight="false" outlineLevel="0" collapsed="false">
      <c r="A487" s="1" t="s">
        <v>2132</v>
      </c>
      <c r="B487" s="1" t="s">
        <v>2133</v>
      </c>
      <c r="D487" s="1" t="s">
        <v>2134</v>
      </c>
      <c r="E487" s="1" t="s">
        <v>361</v>
      </c>
      <c r="F487" s="1" t="s">
        <v>2135</v>
      </c>
      <c r="T487" s="2" t="s">
        <v>658</v>
      </c>
      <c r="V487" s="1" t="s">
        <v>682</v>
      </c>
      <c r="X487" s="1" t="s">
        <v>2136</v>
      </c>
      <c r="Y487" s="1" t="s">
        <v>2136</v>
      </c>
    </row>
    <row r="488" customFormat="false" ht="13.8" hidden="false" customHeight="false" outlineLevel="0" collapsed="false">
      <c r="A488" s="1" t="s">
        <v>2137</v>
      </c>
      <c r="B488" s="1" t="s">
        <v>2138</v>
      </c>
      <c r="D488" s="1" t="s">
        <v>78</v>
      </c>
      <c r="E488" s="1" t="s">
        <v>35</v>
      </c>
      <c r="F488" s="1" t="s">
        <v>66</v>
      </c>
      <c r="G488" s="1" t="s">
        <v>79</v>
      </c>
      <c r="H488" s="1" t="s">
        <v>38</v>
      </c>
      <c r="Q488" s="2" t="s">
        <v>946</v>
      </c>
      <c r="S488" s="2" t="s">
        <v>39</v>
      </c>
      <c r="T488" s="2" t="s">
        <v>39</v>
      </c>
      <c r="V488" s="1" t="s">
        <v>48</v>
      </c>
      <c r="X488" s="1" t="s">
        <v>2139</v>
      </c>
      <c r="Y488" s="1" t="s">
        <v>2140</v>
      </c>
      <c r="AB488" s="1" t="s">
        <v>45</v>
      </c>
      <c r="AC488" s="1" t="s">
        <v>45</v>
      </c>
    </row>
    <row r="489" customFormat="false" ht="13.8" hidden="false" customHeight="false" outlineLevel="0" collapsed="false">
      <c r="A489" s="1" t="s">
        <v>2141</v>
      </c>
      <c r="B489" s="1" t="s">
        <v>2142</v>
      </c>
      <c r="D489" s="1" t="s">
        <v>34</v>
      </c>
      <c r="E489" s="1" t="s">
        <v>36</v>
      </c>
      <c r="F489" s="1" t="s">
        <v>38</v>
      </c>
      <c r="G489" s="1" t="s">
        <v>81</v>
      </c>
      <c r="H489" s="1" t="s">
        <v>35</v>
      </c>
      <c r="Q489" s="2" t="s">
        <v>1477</v>
      </c>
      <c r="S489" s="2" t="s">
        <v>1345</v>
      </c>
      <c r="T489" s="2" t="s">
        <v>2143</v>
      </c>
      <c r="V489" s="1" t="s">
        <v>104</v>
      </c>
      <c r="X489" s="1" t="s">
        <v>2139</v>
      </c>
      <c r="Y489" s="1" t="s">
        <v>2144</v>
      </c>
      <c r="AB489" s="1" t="s">
        <v>45</v>
      </c>
      <c r="AC489" s="1" t="s">
        <v>45</v>
      </c>
    </row>
    <row r="490" customFormat="false" ht="13.8" hidden="false" customHeight="false" outlineLevel="0" collapsed="false">
      <c r="A490" s="1" t="s">
        <v>2145</v>
      </c>
      <c r="B490" s="1" t="s">
        <v>2146</v>
      </c>
      <c r="D490" s="1" t="s">
        <v>225</v>
      </c>
      <c r="E490" s="1" t="s">
        <v>35</v>
      </c>
      <c r="F490" s="1" t="s">
        <v>81</v>
      </c>
      <c r="G490" s="1" t="s">
        <v>65</v>
      </c>
      <c r="H490" s="1" t="s">
        <v>64</v>
      </c>
      <c r="I490" s="1" t="s">
        <v>38</v>
      </c>
      <c r="T490" s="2" t="s">
        <v>2147</v>
      </c>
      <c r="V490" s="1" t="s">
        <v>208</v>
      </c>
      <c r="X490" s="1" t="s">
        <v>2139</v>
      </c>
      <c r="Y490" s="1" t="s">
        <v>2139</v>
      </c>
      <c r="AB490" s="1" t="s">
        <v>45</v>
      </c>
      <c r="AC490" s="1" t="s">
        <v>45</v>
      </c>
    </row>
    <row r="491" customFormat="false" ht="13.8" hidden="false" customHeight="false" outlineLevel="0" collapsed="false">
      <c r="A491" s="1" t="s">
        <v>2148</v>
      </c>
      <c r="B491" s="1" t="s">
        <v>2149</v>
      </c>
      <c r="D491" s="1" t="s">
        <v>127</v>
      </c>
      <c r="E491" s="1" t="s">
        <v>36</v>
      </c>
      <c r="F491" s="1" t="s">
        <v>128</v>
      </c>
      <c r="G491" s="1" t="s">
        <v>35</v>
      </c>
      <c r="H491" s="1" t="s">
        <v>38</v>
      </c>
      <c r="T491" s="2" t="s">
        <v>2150</v>
      </c>
      <c r="V491" s="1" t="s">
        <v>208</v>
      </c>
      <c r="X491" s="1" t="s">
        <v>2139</v>
      </c>
      <c r="Y491" s="1" t="s">
        <v>2151</v>
      </c>
      <c r="AB491" s="1" t="s">
        <v>45</v>
      </c>
      <c r="AC491" s="1" t="s">
        <v>45</v>
      </c>
    </row>
    <row r="492" customFormat="false" ht="13.8" hidden="false" customHeight="false" outlineLevel="0" collapsed="false">
      <c r="A492" s="1" t="s">
        <v>2152</v>
      </c>
      <c r="B492" s="1" t="s">
        <v>2153</v>
      </c>
      <c r="D492" s="1" t="s">
        <v>78</v>
      </c>
      <c r="E492" s="1" t="s">
        <v>81</v>
      </c>
      <c r="F492" s="1" t="s">
        <v>79</v>
      </c>
      <c r="G492" s="1" t="s">
        <v>35</v>
      </c>
      <c r="H492" s="1" t="s">
        <v>38</v>
      </c>
      <c r="I492" s="1" t="s">
        <v>701</v>
      </c>
      <c r="T492" s="2" t="s">
        <v>2154</v>
      </c>
      <c r="V492" s="1" t="s">
        <v>85</v>
      </c>
      <c r="X492" s="1" t="s">
        <v>2139</v>
      </c>
      <c r="Y492" s="1" t="s">
        <v>2155</v>
      </c>
      <c r="AB492" s="1" t="s">
        <v>45</v>
      </c>
      <c r="AC492" s="1" t="s">
        <v>45</v>
      </c>
    </row>
    <row r="493" customFormat="false" ht="13.8" hidden="false" customHeight="false" outlineLevel="0" collapsed="false">
      <c r="A493" s="1" t="s">
        <v>2156</v>
      </c>
      <c r="B493" s="1" t="s">
        <v>2157</v>
      </c>
      <c r="D493" s="1" t="s">
        <v>78</v>
      </c>
      <c r="E493" s="1" t="s">
        <v>81</v>
      </c>
      <c r="F493" s="1" t="s">
        <v>79</v>
      </c>
      <c r="G493" s="1" t="s">
        <v>35</v>
      </c>
      <c r="H493" s="1" t="s">
        <v>38</v>
      </c>
      <c r="T493" s="2" t="s">
        <v>2158</v>
      </c>
      <c r="V493" s="1" t="s">
        <v>164</v>
      </c>
      <c r="X493" s="1" t="s">
        <v>2139</v>
      </c>
      <c r="Y493" s="1" t="s">
        <v>2159</v>
      </c>
      <c r="AB493" s="1" t="s">
        <v>45</v>
      </c>
      <c r="AC493" s="1" t="s">
        <v>45</v>
      </c>
    </row>
    <row r="494" customFormat="false" ht="13.8" hidden="false" customHeight="false" outlineLevel="0" collapsed="false">
      <c r="A494" s="1" t="s">
        <v>2160</v>
      </c>
      <c r="B494" s="1" t="s">
        <v>2161</v>
      </c>
      <c r="D494" s="1" t="s">
        <v>225</v>
      </c>
      <c r="E494" s="1" t="s">
        <v>361</v>
      </c>
      <c r="F494" s="1" t="s">
        <v>716</v>
      </c>
      <c r="T494" s="2" t="s">
        <v>1854</v>
      </c>
      <c r="V494" s="1" t="s">
        <v>208</v>
      </c>
      <c r="X494" s="1" t="s">
        <v>2139</v>
      </c>
      <c r="Y494" s="1" t="s">
        <v>190</v>
      </c>
      <c r="AB494" s="1" t="s">
        <v>45</v>
      </c>
      <c r="AC494" s="1" t="s">
        <v>45</v>
      </c>
    </row>
    <row r="495" customFormat="false" ht="13.8" hidden="false" customHeight="false" outlineLevel="0" collapsed="false">
      <c r="A495" s="1" t="s">
        <v>2162</v>
      </c>
      <c r="B495" s="1" t="s">
        <v>2163</v>
      </c>
      <c r="D495" s="1" t="s">
        <v>225</v>
      </c>
      <c r="E495" s="1" t="s">
        <v>66</v>
      </c>
      <c r="F495" s="1" t="s">
        <v>38</v>
      </c>
      <c r="G495" s="1" t="s">
        <v>64</v>
      </c>
      <c r="H495" s="1" t="s">
        <v>101</v>
      </c>
      <c r="T495" s="2" t="s">
        <v>207</v>
      </c>
      <c r="V495" s="1" t="s">
        <v>85</v>
      </c>
      <c r="X495" s="1" t="s">
        <v>2139</v>
      </c>
      <c r="Y495" s="1" t="s">
        <v>2164</v>
      </c>
      <c r="AB495" s="1" t="s">
        <v>45</v>
      </c>
      <c r="AC495" s="1" t="s">
        <v>45</v>
      </c>
    </row>
    <row r="496" customFormat="false" ht="13.8" hidden="false" customHeight="false" outlineLevel="0" collapsed="false">
      <c r="A496" s="1" t="s">
        <v>2165</v>
      </c>
      <c r="B496" s="1" t="s">
        <v>2166</v>
      </c>
      <c r="D496" s="1" t="s">
        <v>225</v>
      </c>
      <c r="E496" s="1" t="s">
        <v>81</v>
      </c>
      <c r="F496" s="1" t="s">
        <v>38</v>
      </c>
      <c r="G496" s="1" t="s">
        <v>101</v>
      </c>
      <c r="T496" s="2" t="s">
        <v>2167</v>
      </c>
      <c r="V496" s="1" t="s">
        <v>208</v>
      </c>
      <c r="X496" s="1" t="s">
        <v>2139</v>
      </c>
      <c r="Y496" s="1" t="s">
        <v>2168</v>
      </c>
      <c r="AB496" s="1" t="s">
        <v>45</v>
      </c>
      <c r="AC496" s="1" t="s">
        <v>45</v>
      </c>
    </row>
    <row r="497" customFormat="false" ht="13.8" hidden="false" customHeight="false" outlineLevel="0" collapsed="false">
      <c r="A497" s="1" t="s">
        <v>2169</v>
      </c>
      <c r="B497" s="1" t="s">
        <v>2170</v>
      </c>
      <c r="D497" s="1" t="s">
        <v>34</v>
      </c>
      <c r="E497" s="1" t="s">
        <v>36</v>
      </c>
      <c r="F497" s="1" t="s">
        <v>361</v>
      </c>
      <c r="G497" s="1" t="s">
        <v>715</v>
      </c>
      <c r="T497" s="2" t="s">
        <v>2171</v>
      </c>
      <c r="V497" s="1" t="s">
        <v>396</v>
      </c>
      <c r="X497" s="1" t="s">
        <v>2139</v>
      </c>
      <c r="Y497" s="1" t="s">
        <v>2172</v>
      </c>
      <c r="AB497" s="1" t="s">
        <v>45</v>
      </c>
      <c r="AC497" s="1" t="s">
        <v>45</v>
      </c>
    </row>
    <row r="498" customFormat="false" ht="13.8" hidden="false" customHeight="false" outlineLevel="0" collapsed="false">
      <c r="A498" s="1" t="s">
        <v>2173</v>
      </c>
      <c r="B498" s="1" t="s">
        <v>2174</v>
      </c>
      <c r="D498" s="1" t="s">
        <v>225</v>
      </c>
      <c r="E498" s="1" t="s">
        <v>35</v>
      </c>
      <c r="F498" s="1" t="s">
        <v>66</v>
      </c>
      <c r="G498" s="1" t="s">
        <v>64</v>
      </c>
      <c r="H498" s="1" t="s">
        <v>65</v>
      </c>
      <c r="I498" s="1" t="s">
        <v>38</v>
      </c>
      <c r="T498" s="2" t="s">
        <v>2175</v>
      </c>
      <c r="V498" s="1" t="s">
        <v>164</v>
      </c>
      <c r="X498" s="1" t="s">
        <v>2139</v>
      </c>
      <c r="Y498" s="1" t="s">
        <v>2176</v>
      </c>
      <c r="AA498" s="3" t="b">
        <f aca="false">TRUE()</f>
        <v>1</v>
      </c>
      <c r="AB498" s="1" t="s">
        <v>45</v>
      </c>
      <c r="AC498" s="1" t="s">
        <v>45</v>
      </c>
    </row>
    <row r="499" customFormat="false" ht="13.8" hidden="false" customHeight="false" outlineLevel="0" collapsed="false">
      <c r="A499" s="1" t="s">
        <v>2177</v>
      </c>
      <c r="B499" s="1" t="s">
        <v>2178</v>
      </c>
      <c r="D499" s="1" t="s">
        <v>225</v>
      </c>
      <c r="E499" s="1" t="s">
        <v>35</v>
      </c>
      <c r="F499" s="1" t="s">
        <v>66</v>
      </c>
      <c r="G499" s="1" t="s">
        <v>64</v>
      </c>
      <c r="H499" s="1" t="s">
        <v>38</v>
      </c>
      <c r="T499" s="2" t="s">
        <v>1571</v>
      </c>
      <c r="V499" s="1" t="s">
        <v>164</v>
      </c>
      <c r="X499" s="1" t="s">
        <v>2139</v>
      </c>
      <c r="Y499" s="1" t="s">
        <v>2179</v>
      </c>
      <c r="Z499" s="1" t="s">
        <v>2180</v>
      </c>
      <c r="AB499" s="1" t="s">
        <v>45</v>
      </c>
      <c r="AC499" s="1" t="s">
        <v>45</v>
      </c>
      <c r="AG499" s="0" t="n">
        <v>1</v>
      </c>
    </row>
    <row r="500" customFormat="false" ht="13.8" hidden="false" customHeight="false" outlineLevel="0" collapsed="false">
      <c r="A500" s="1" t="s">
        <v>2181</v>
      </c>
      <c r="B500" s="1" t="s">
        <v>2182</v>
      </c>
      <c r="D500" s="1" t="s">
        <v>63</v>
      </c>
      <c r="T500" s="2" t="s">
        <v>2183</v>
      </c>
      <c r="V500" s="1" t="s">
        <v>208</v>
      </c>
      <c r="X500" s="1" t="s">
        <v>2139</v>
      </c>
      <c r="Y500" s="1" t="s">
        <v>45</v>
      </c>
      <c r="AB500" s="1" t="s">
        <v>45</v>
      </c>
      <c r="AC500" s="1" t="s">
        <v>45</v>
      </c>
    </row>
    <row r="501" customFormat="false" ht="13.8" hidden="false" customHeight="false" outlineLevel="0" collapsed="false">
      <c r="A501" s="1" t="s">
        <v>2184</v>
      </c>
      <c r="B501" s="1" t="s">
        <v>2185</v>
      </c>
      <c r="D501" s="1" t="s">
        <v>78</v>
      </c>
      <c r="E501" s="1" t="s">
        <v>701</v>
      </c>
      <c r="F501" s="1" t="s">
        <v>79</v>
      </c>
      <c r="G501" s="1" t="s">
        <v>35</v>
      </c>
      <c r="H501" s="1" t="s">
        <v>38</v>
      </c>
      <c r="I501" s="1" t="s">
        <v>81</v>
      </c>
      <c r="Q501" s="1" t="s">
        <v>45</v>
      </c>
      <c r="T501" s="2" t="s">
        <v>2186</v>
      </c>
      <c r="V501" s="1" t="s">
        <v>48</v>
      </c>
      <c r="X501" s="1" t="s">
        <v>2139</v>
      </c>
      <c r="Y501" s="1" t="s">
        <v>2187</v>
      </c>
      <c r="AB501" s="1" t="s">
        <v>45</v>
      </c>
      <c r="AC501" s="1" t="s">
        <v>45</v>
      </c>
    </row>
    <row r="502" customFormat="false" ht="13.8" hidden="false" customHeight="false" outlineLevel="0" collapsed="false">
      <c r="A502" s="1" t="s">
        <v>2188</v>
      </c>
      <c r="B502" s="1" t="s">
        <v>2189</v>
      </c>
      <c r="D502" s="1" t="s">
        <v>34</v>
      </c>
      <c r="T502" s="2" t="s">
        <v>2190</v>
      </c>
      <c r="V502" s="1" t="s">
        <v>164</v>
      </c>
      <c r="X502" s="1" t="s">
        <v>2139</v>
      </c>
      <c r="Y502" s="1" t="s">
        <v>2191</v>
      </c>
    </row>
    <row r="503" customFormat="false" ht="13.8" hidden="false" customHeight="false" outlineLevel="0" collapsed="false">
      <c r="A503" s="1" t="s">
        <v>2192</v>
      </c>
      <c r="B503" s="1" t="s">
        <v>2193</v>
      </c>
      <c r="D503" s="1" t="s">
        <v>225</v>
      </c>
      <c r="T503" s="2" t="s">
        <v>1916</v>
      </c>
      <c r="V503" s="1" t="s">
        <v>48</v>
      </c>
      <c r="X503" s="1" t="s">
        <v>2139</v>
      </c>
      <c r="Y503" s="1" t="s">
        <v>2194</v>
      </c>
    </row>
    <row r="504" customFormat="false" ht="13.8" hidden="false" customHeight="false" outlineLevel="0" collapsed="false">
      <c r="A504" s="1" t="s">
        <v>2195</v>
      </c>
      <c r="B504" s="1" t="s">
        <v>2196</v>
      </c>
      <c r="D504" s="1" t="s">
        <v>225</v>
      </c>
      <c r="T504" s="2" t="s">
        <v>2197</v>
      </c>
      <c r="V504" s="1" t="s">
        <v>164</v>
      </c>
      <c r="X504" s="1" t="s">
        <v>2139</v>
      </c>
      <c r="Y504" s="1" t="s">
        <v>2198</v>
      </c>
    </row>
    <row r="505" customFormat="false" ht="13.8" hidden="false" customHeight="false" outlineLevel="0" collapsed="false">
      <c r="A505" s="1" t="s">
        <v>2199</v>
      </c>
      <c r="B505" s="1" t="s">
        <v>2200</v>
      </c>
      <c r="D505" s="1" t="s">
        <v>78</v>
      </c>
      <c r="T505" s="2" t="s">
        <v>2197</v>
      </c>
      <c r="V505" s="1" t="s">
        <v>164</v>
      </c>
      <c r="X505" s="1" t="s">
        <v>2139</v>
      </c>
      <c r="Y505" s="1" t="s">
        <v>2201</v>
      </c>
    </row>
    <row r="506" customFormat="false" ht="13.8" hidden="false" customHeight="false" outlineLevel="0" collapsed="false">
      <c r="A506" s="1" t="s">
        <v>2202</v>
      </c>
      <c r="B506" s="1" t="s">
        <v>2203</v>
      </c>
      <c r="D506" s="1" t="s">
        <v>452</v>
      </c>
      <c r="T506" s="2" t="s">
        <v>1916</v>
      </c>
      <c r="V506" s="1" t="s">
        <v>164</v>
      </c>
      <c r="X506" s="1" t="s">
        <v>2139</v>
      </c>
      <c r="Y506" s="1" t="s">
        <v>2194</v>
      </c>
    </row>
    <row r="507" customFormat="false" ht="13.8" hidden="false" customHeight="false" outlineLevel="0" collapsed="false">
      <c r="A507" s="1" t="s">
        <v>2204</v>
      </c>
      <c r="B507" s="1" t="s">
        <v>2205</v>
      </c>
      <c r="D507" s="1" t="s">
        <v>63</v>
      </c>
      <c r="T507" s="2" t="s">
        <v>2206</v>
      </c>
      <c r="V507" s="1" t="s">
        <v>208</v>
      </c>
      <c r="X507" s="1" t="s">
        <v>2139</v>
      </c>
      <c r="Y507" s="1" t="s">
        <v>2139</v>
      </c>
    </row>
    <row r="508" customFormat="false" ht="13.8" hidden="false" customHeight="false" outlineLevel="0" collapsed="false">
      <c r="A508" s="1" t="s">
        <v>2207</v>
      </c>
      <c r="B508" s="1" t="s">
        <v>2208</v>
      </c>
      <c r="D508" s="1" t="s">
        <v>63</v>
      </c>
      <c r="T508" s="2" t="s">
        <v>1916</v>
      </c>
      <c r="V508" s="1" t="s">
        <v>164</v>
      </c>
      <c r="X508" s="1" t="s">
        <v>2139</v>
      </c>
      <c r="Y508" s="1" t="s">
        <v>2139</v>
      </c>
    </row>
    <row r="509" customFormat="false" ht="13.8" hidden="false" customHeight="false" outlineLevel="0" collapsed="false">
      <c r="A509" s="1" t="s">
        <v>2209</v>
      </c>
      <c r="B509" s="1" t="s">
        <v>2210</v>
      </c>
      <c r="D509" s="1" t="s">
        <v>34</v>
      </c>
      <c r="T509" s="2" t="s">
        <v>2211</v>
      </c>
      <c r="V509" s="1" t="s">
        <v>1982</v>
      </c>
      <c r="X509" s="1" t="s">
        <v>2139</v>
      </c>
      <c r="Y509" s="1" t="s">
        <v>2212</v>
      </c>
    </row>
    <row r="510" customFormat="false" ht="13.8" hidden="false" customHeight="false" outlineLevel="0" collapsed="false">
      <c r="A510" s="1" t="s">
        <v>2213</v>
      </c>
      <c r="B510" s="1" t="s">
        <v>2214</v>
      </c>
      <c r="D510" s="1" t="s">
        <v>783</v>
      </c>
      <c r="T510" s="2" t="s">
        <v>1870</v>
      </c>
      <c r="V510" s="1" t="s">
        <v>2215</v>
      </c>
      <c r="X510" s="1" t="s">
        <v>2139</v>
      </c>
      <c r="Y510" s="1" t="s">
        <v>2216</v>
      </c>
    </row>
    <row r="511" customFormat="false" ht="13.8" hidden="false" customHeight="false" outlineLevel="0" collapsed="false">
      <c r="A511" s="1" t="s">
        <v>2217</v>
      </c>
      <c r="B511" s="1" t="s">
        <v>2218</v>
      </c>
      <c r="D511" s="1" t="s">
        <v>225</v>
      </c>
      <c r="T511" s="2" t="s">
        <v>1683</v>
      </c>
      <c r="V511" s="1" t="s">
        <v>208</v>
      </c>
      <c r="X511" s="1" t="s">
        <v>2139</v>
      </c>
      <c r="Y511" s="1" t="s">
        <v>2219</v>
      </c>
    </row>
    <row r="512" customFormat="false" ht="13.8" hidden="false" customHeight="false" outlineLevel="0" collapsed="false">
      <c r="A512" s="1" t="s">
        <v>2220</v>
      </c>
      <c r="B512" s="1" t="s">
        <v>2221</v>
      </c>
      <c r="D512" s="1" t="s">
        <v>34</v>
      </c>
      <c r="T512" s="2" t="s">
        <v>844</v>
      </c>
      <c r="V512" s="1" t="s">
        <v>563</v>
      </c>
      <c r="X512" s="1" t="s">
        <v>2139</v>
      </c>
      <c r="Y512" s="1" t="s">
        <v>2222</v>
      </c>
    </row>
    <row r="513" customFormat="false" ht="13.8" hidden="false" customHeight="false" outlineLevel="0" collapsed="false">
      <c r="A513" s="1" t="s">
        <v>2223</v>
      </c>
      <c r="B513" s="1" t="s">
        <v>2224</v>
      </c>
      <c r="D513" s="1" t="s">
        <v>225</v>
      </c>
      <c r="T513" s="2" t="s">
        <v>847</v>
      </c>
      <c r="V513" s="1" t="s">
        <v>164</v>
      </c>
      <c r="X513" s="1" t="s">
        <v>2139</v>
      </c>
      <c r="Y513" s="1" t="s">
        <v>2225</v>
      </c>
    </row>
    <row r="514" customFormat="false" ht="13.8" hidden="false" customHeight="false" outlineLevel="0" collapsed="false">
      <c r="A514" s="1" t="s">
        <v>2226</v>
      </c>
      <c r="B514" s="1" t="s">
        <v>2227</v>
      </c>
      <c r="D514" s="1" t="s">
        <v>34</v>
      </c>
      <c r="T514" s="2" t="s">
        <v>1768</v>
      </c>
      <c r="V514" s="1" t="s">
        <v>711</v>
      </c>
      <c r="X514" s="1" t="s">
        <v>2139</v>
      </c>
      <c r="Y514" s="1" t="s">
        <v>2228</v>
      </c>
    </row>
    <row r="515" customFormat="false" ht="13.8" hidden="false" customHeight="false" outlineLevel="0" collapsed="false">
      <c r="A515" s="1" t="s">
        <v>2229</v>
      </c>
      <c r="B515" s="1" t="s">
        <v>2230</v>
      </c>
      <c r="D515" s="1" t="s">
        <v>34</v>
      </c>
      <c r="T515" s="2" t="s">
        <v>2231</v>
      </c>
      <c r="V515" s="1" t="s">
        <v>711</v>
      </c>
      <c r="X515" s="1" t="s">
        <v>2139</v>
      </c>
      <c r="Y515" s="1" t="s">
        <v>2232</v>
      </c>
    </row>
    <row r="516" customFormat="false" ht="13.8" hidden="false" customHeight="false" outlineLevel="0" collapsed="false">
      <c r="A516" s="1" t="s">
        <v>2233</v>
      </c>
      <c r="B516" s="1" t="s">
        <v>2234</v>
      </c>
      <c r="D516" s="1" t="s">
        <v>34</v>
      </c>
      <c r="T516" s="2" t="s">
        <v>1528</v>
      </c>
      <c r="V516" s="1" t="s">
        <v>711</v>
      </c>
      <c r="X516" s="1" t="s">
        <v>2139</v>
      </c>
      <c r="Y516" s="1" t="s">
        <v>2235</v>
      </c>
    </row>
    <row r="517" customFormat="false" ht="13.8" hidden="false" customHeight="false" outlineLevel="0" collapsed="false">
      <c r="A517" s="1" t="s">
        <v>2236</v>
      </c>
      <c r="B517" s="1" t="s">
        <v>2237</v>
      </c>
      <c r="D517" s="1" t="s">
        <v>34</v>
      </c>
      <c r="T517" s="2" t="s">
        <v>2238</v>
      </c>
      <c r="V517" s="1" t="s">
        <v>711</v>
      </c>
      <c r="X517" s="1" t="s">
        <v>2139</v>
      </c>
      <c r="Y517" s="1" t="s">
        <v>2239</v>
      </c>
    </row>
    <row r="518" customFormat="false" ht="13.8" hidden="false" customHeight="false" outlineLevel="0" collapsed="false">
      <c r="A518" s="1" t="s">
        <v>2240</v>
      </c>
      <c r="B518" s="1" t="s">
        <v>2241</v>
      </c>
      <c r="D518" s="1" t="s">
        <v>78</v>
      </c>
      <c r="T518" s="2" t="s">
        <v>2242</v>
      </c>
      <c r="V518" s="1" t="s">
        <v>48</v>
      </c>
      <c r="X518" s="1" t="s">
        <v>2139</v>
      </c>
      <c r="Y518" s="1" t="s">
        <v>2243</v>
      </c>
    </row>
    <row r="519" customFormat="false" ht="13.8" hidden="false" customHeight="false" outlineLevel="0" collapsed="false">
      <c r="A519" s="1" t="s">
        <v>2244</v>
      </c>
      <c r="B519" s="1" t="s">
        <v>2245</v>
      </c>
      <c r="D519" s="1" t="s">
        <v>78</v>
      </c>
      <c r="T519" s="2" t="s">
        <v>159</v>
      </c>
      <c r="V519" s="1" t="s">
        <v>48</v>
      </c>
      <c r="X519" s="1" t="s">
        <v>2139</v>
      </c>
      <c r="Y519" s="1" t="s">
        <v>2246</v>
      </c>
    </row>
    <row r="520" customFormat="false" ht="13.8" hidden="false" customHeight="false" outlineLevel="0" collapsed="false">
      <c r="A520" s="1" t="s">
        <v>2247</v>
      </c>
      <c r="B520" s="1" t="s">
        <v>2248</v>
      </c>
      <c r="D520" s="1" t="s">
        <v>225</v>
      </c>
      <c r="T520" s="2" t="s">
        <v>2249</v>
      </c>
      <c r="V520" s="1" t="s">
        <v>443</v>
      </c>
      <c r="X520" s="1" t="s">
        <v>2139</v>
      </c>
      <c r="Y520" s="1" t="s">
        <v>2250</v>
      </c>
    </row>
    <row r="521" customFormat="false" ht="13.8" hidden="false" customHeight="false" outlineLevel="0" collapsed="false">
      <c r="A521" s="1" t="s">
        <v>2251</v>
      </c>
      <c r="B521" s="1" t="s">
        <v>2252</v>
      </c>
      <c r="D521" s="1" t="s">
        <v>78</v>
      </c>
      <c r="T521" s="2" t="s">
        <v>2253</v>
      </c>
      <c r="V521" s="1" t="s">
        <v>443</v>
      </c>
      <c r="X521" s="1" t="s">
        <v>2139</v>
      </c>
      <c r="Y521" s="1" t="s">
        <v>2254</v>
      </c>
    </row>
    <row r="522" customFormat="false" ht="13.8" hidden="false" customHeight="false" outlineLevel="0" collapsed="false">
      <c r="A522" s="1" t="s">
        <v>2255</v>
      </c>
      <c r="B522" s="1" t="s">
        <v>2256</v>
      </c>
      <c r="D522" s="1" t="s">
        <v>78</v>
      </c>
      <c r="T522" s="2" t="s">
        <v>2257</v>
      </c>
      <c r="V522" s="1" t="s">
        <v>443</v>
      </c>
      <c r="X522" s="1" t="s">
        <v>2139</v>
      </c>
      <c r="Y522" s="1" t="s">
        <v>2258</v>
      </c>
    </row>
    <row r="523" customFormat="false" ht="13.8" hidden="false" customHeight="false" outlineLevel="0" collapsed="false">
      <c r="A523" s="1" t="s">
        <v>2259</v>
      </c>
      <c r="B523" s="1" t="s">
        <v>2260</v>
      </c>
      <c r="D523" s="1" t="s">
        <v>78</v>
      </c>
      <c r="T523" s="2" t="s">
        <v>2261</v>
      </c>
      <c r="V523" s="1" t="s">
        <v>208</v>
      </c>
      <c r="X523" s="1" t="s">
        <v>2139</v>
      </c>
      <c r="Y523" s="1" t="s">
        <v>729</v>
      </c>
    </row>
    <row r="524" customFormat="false" ht="13.8" hidden="false" customHeight="false" outlineLevel="0" collapsed="false">
      <c r="A524" s="1" t="s">
        <v>2262</v>
      </c>
      <c r="B524" s="1" t="s">
        <v>2263</v>
      </c>
      <c r="D524" s="1" t="s">
        <v>63</v>
      </c>
      <c r="E524" s="1" t="s">
        <v>35</v>
      </c>
      <c r="F524" s="1" t="s">
        <v>66</v>
      </c>
      <c r="G524" s="1" t="s">
        <v>64</v>
      </c>
      <c r="H524" s="1" t="s">
        <v>65</v>
      </c>
      <c r="I524" s="1" t="s">
        <v>38</v>
      </c>
      <c r="T524" s="2" t="s">
        <v>2040</v>
      </c>
      <c r="V524" s="1" t="s">
        <v>164</v>
      </c>
      <c r="X524" s="1" t="s">
        <v>2139</v>
      </c>
      <c r="Y524" s="1" t="s">
        <v>2176</v>
      </c>
    </row>
    <row r="525" customFormat="false" ht="13.8" hidden="false" customHeight="false" outlineLevel="0" collapsed="false">
      <c r="A525" s="1" t="s">
        <v>2264</v>
      </c>
      <c r="B525" s="1" t="s">
        <v>2265</v>
      </c>
      <c r="D525" s="1" t="s">
        <v>225</v>
      </c>
      <c r="T525" s="2" t="s">
        <v>1179</v>
      </c>
      <c r="V525" s="1" t="s">
        <v>711</v>
      </c>
      <c r="X525" s="1" t="s">
        <v>2139</v>
      </c>
      <c r="Y525" s="1" t="s">
        <v>2266</v>
      </c>
    </row>
    <row r="526" customFormat="false" ht="13.8" hidden="false" customHeight="false" outlineLevel="0" collapsed="false">
      <c r="A526" s="1" t="s">
        <v>2267</v>
      </c>
      <c r="B526" s="1" t="s">
        <v>2268</v>
      </c>
      <c r="D526" s="1" t="s">
        <v>78</v>
      </c>
      <c r="E526" s="1" t="s">
        <v>66</v>
      </c>
      <c r="F526" s="1" t="s">
        <v>701</v>
      </c>
      <c r="G526" s="1" t="s">
        <v>79</v>
      </c>
      <c r="H526" s="1" t="s">
        <v>35</v>
      </c>
      <c r="I526" s="1" t="s">
        <v>38</v>
      </c>
      <c r="Q526" s="2" t="s">
        <v>442</v>
      </c>
      <c r="S526" s="2" t="s">
        <v>2269</v>
      </c>
      <c r="T526" s="2" t="s">
        <v>2269</v>
      </c>
      <c r="V526" s="1" t="s">
        <v>117</v>
      </c>
      <c r="X526" s="1" t="s">
        <v>2139</v>
      </c>
      <c r="Y526" s="1" t="s">
        <v>2270</v>
      </c>
    </row>
    <row r="527" customFormat="false" ht="13.8" hidden="false" customHeight="false" outlineLevel="0" collapsed="false">
      <c r="A527" s="1" t="s">
        <v>2271</v>
      </c>
      <c r="B527" s="1" t="s">
        <v>2272</v>
      </c>
      <c r="D527" s="1" t="s">
        <v>63</v>
      </c>
      <c r="E527" s="1" t="s">
        <v>35</v>
      </c>
      <c r="F527" s="1" t="s">
        <v>81</v>
      </c>
      <c r="G527" s="1" t="s">
        <v>65</v>
      </c>
      <c r="H527" s="1" t="s">
        <v>64</v>
      </c>
      <c r="I527" s="1" t="s">
        <v>38</v>
      </c>
      <c r="T527" s="2" t="s">
        <v>2273</v>
      </c>
      <c r="V527" s="1" t="s">
        <v>2274</v>
      </c>
      <c r="X527" s="1" t="s">
        <v>2139</v>
      </c>
      <c r="Y527" s="1" t="s">
        <v>2139</v>
      </c>
    </row>
    <row r="528" customFormat="false" ht="13.8" hidden="false" customHeight="false" outlineLevel="0" collapsed="false">
      <c r="A528" s="1" t="s">
        <v>2275</v>
      </c>
      <c r="B528" s="1" t="s">
        <v>2276</v>
      </c>
      <c r="D528" s="1" t="s">
        <v>63</v>
      </c>
      <c r="E528" s="1" t="s">
        <v>35</v>
      </c>
      <c r="F528" s="1" t="s">
        <v>81</v>
      </c>
      <c r="G528" s="1" t="s">
        <v>64</v>
      </c>
      <c r="H528" s="1" t="s">
        <v>65</v>
      </c>
      <c r="I528" s="1" t="s">
        <v>38</v>
      </c>
      <c r="T528" s="2" t="s">
        <v>1571</v>
      </c>
      <c r="V528" s="1" t="s">
        <v>2274</v>
      </c>
      <c r="X528" s="1" t="s">
        <v>2139</v>
      </c>
      <c r="Y528" s="1" t="s">
        <v>2179</v>
      </c>
      <c r="Z528" s="1" t="s">
        <v>2180</v>
      </c>
    </row>
    <row r="529" customFormat="false" ht="13.8" hidden="false" customHeight="false" outlineLevel="0" collapsed="false">
      <c r="A529" s="1" t="s">
        <v>2277</v>
      </c>
      <c r="B529" s="1" t="s">
        <v>2278</v>
      </c>
      <c r="D529" s="1" t="s">
        <v>225</v>
      </c>
      <c r="E529" s="1" t="s">
        <v>35</v>
      </c>
      <c r="F529" s="1" t="s">
        <v>81</v>
      </c>
      <c r="G529" s="1" t="s">
        <v>64</v>
      </c>
      <c r="H529" s="1" t="s">
        <v>38</v>
      </c>
      <c r="I529" s="1" t="s">
        <v>79</v>
      </c>
      <c r="J529" s="1" t="s">
        <v>521</v>
      </c>
      <c r="Q529" s="2" t="s">
        <v>1519</v>
      </c>
      <c r="S529" s="2" t="s">
        <v>2279</v>
      </c>
      <c r="T529" s="2" t="s">
        <v>2279</v>
      </c>
      <c r="V529" s="1" t="s">
        <v>2274</v>
      </c>
      <c r="X529" s="1" t="s">
        <v>2139</v>
      </c>
      <c r="Y529" s="1" t="s">
        <v>2280</v>
      </c>
    </row>
    <row r="530" customFormat="false" ht="13.8" hidden="false" customHeight="false" outlineLevel="0" collapsed="false">
      <c r="A530" s="1" t="s">
        <v>2281</v>
      </c>
      <c r="B530" s="1" t="s">
        <v>2282</v>
      </c>
      <c r="D530" s="1" t="s">
        <v>225</v>
      </c>
      <c r="E530" s="1" t="s">
        <v>35</v>
      </c>
      <c r="F530" s="1" t="s">
        <v>66</v>
      </c>
      <c r="G530" s="1" t="s">
        <v>38</v>
      </c>
      <c r="H530" s="1" t="s">
        <v>701</v>
      </c>
      <c r="I530" s="1" t="s">
        <v>521</v>
      </c>
      <c r="Q530" s="2" t="s">
        <v>822</v>
      </c>
      <c r="T530" s="2" t="s">
        <v>2283</v>
      </c>
      <c r="V530" s="1" t="s">
        <v>2284</v>
      </c>
      <c r="X530" s="1" t="s">
        <v>2139</v>
      </c>
      <c r="Y530" s="1" t="s">
        <v>2172</v>
      </c>
    </row>
    <row r="531" customFormat="false" ht="13.8" hidden="false" customHeight="false" outlineLevel="0" collapsed="false">
      <c r="A531" s="1" t="s">
        <v>2285</v>
      </c>
      <c r="B531" s="1" t="s">
        <v>2286</v>
      </c>
      <c r="D531" s="1" t="s">
        <v>225</v>
      </c>
      <c r="E531" s="1" t="s">
        <v>35</v>
      </c>
      <c r="F531" s="1" t="s">
        <v>66</v>
      </c>
      <c r="G531" s="1" t="s">
        <v>64</v>
      </c>
      <c r="H531" s="1" t="s">
        <v>38</v>
      </c>
      <c r="Q531" s="2" t="s">
        <v>2287</v>
      </c>
      <c r="S531" s="2" t="s">
        <v>1493</v>
      </c>
      <c r="T531" s="2" t="s">
        <v>1055</v>
      </c>
      <c r="V531" s="1" t="s">
        <v>2288</v>
      </c>
      <c r="X531" s="1" t="s">
        <v>2139</v>
      </c>
      <c r="Y531" s="1" t="s">
        <v>2289</v>
      </c>
    </row>
    <row r="532" customFormat="false" ht="13.8" hidden="false" customHeight="false" outlineLevel="0" collapsed="false">
      <c r="A532" s="1" t="s">
        <v>2290</v>
      </c>
      <c r="B532" s="1" t="s">
        <v>2291</v>
      </c>
      <c r="D532" s="1" t="s">
        <v>225</v>
      </c>
      <c r="E532" s="1" t="s">
        <v>35</v>
      </c>
      <c r="F532" s="1" t="s">
        <v>128</v>
      </c>
      <c r="G532" s="1" t="s">
        <v>701</v>
      </c>
      <c r="Q532" s="2" t="s">
        <v>809</v>
      </c>
      <c r="S532" s="2" t="s">
        <v>1472</v>
      </c>
      <c r="T532" s="2" t="s">
        <v>2292</v>
      </c>
      <c r="V532" s="1" t="s">
        <v>2274</v>
      </c>
      <c r="X532" s="1" t="s">
        <v>2139</v>
      </c>
      <c r="Y532" s="1" t="s">
        <v>2293</v>
      </c>
    </row>
    <row r="533" customFormat="false" ht="13.8" hidden="false" customHeight="false" outlineLevel="0" collapsed="false">
      <c r="A533" s="1" t="s">
        <v>2294</v>
      </c>
      <c r="B533" s="1" t="s">
        <v>2295</v>
      </c>
      <c r="D533" s="1" t="s">
        <v>225</v>
      </c>
      <c r="E533" s="1" t="s">
        <v>521</v>
      </c>
      <c r="F533" s="1" t="s">
        <v>35</v>
      </c>
      <c r="G533" s="1" t="s">
        <v>81</v>
      </c>
      <c r="H533" s="1" t="s">
        <v>64</v>
      </c>
      <c r="Q533" s="2" t="s">
        <v>2296</v>
      </c>
      <c r="S533" s="2" t="s">
        <v>2297</v>
      </c>
      <c r="T533" s="2" t="s">
        <v>2297</v>
      </c>
      <c r="V533" s="1" t="s">
        <v>443</v>
      </c>
      <c r="X533" s="1" t="s">
        <v>2139</v>
      </c>
      <c r="Y533" s="1" t="s">
        <v>1252</v>
      </c>
    </row>
    <row r="534" customFormat="false" ht="13.8" hidden="false" customHeight="false" outlineLevel="0" collapsed="false">
      <c r="A534" s="1" t="s">
        <v>2298</v>
      </c>
      <c r="B534" s="1" t="s">
        <v>2299</v>
      </c>
      <c r="D534" s="1" t="s">
        <v>78</v>
      </c>
      <c r="E534" s="1" t="s">
        <v>521</v>
      </c>
      <c r="F534" s="1" t="s">
        <v>35</v>
      </c>
      <c r="G534" s="1" t="s">
        <v>81</v>
      </c>
      <c r="Q534" s="2" t="s">
        <v>2300</v>
      </c>
      <c r="S534" s="2" t="s">
        <v>998</v>
      </c>
      <c r="T534" s="2" t="s">
        <v>998</v>
      </c>
      <c r="V534" s="1" t="s">
        <v>269</v>
      </c>
      <c r="X534" s="1" t="s">
        <v>2139</v>
      </c>
      <c r="Y534" s="1" t="s">
        <v>1252</v>
      </c>
    </row>
    <row r="535" customFormat="false" ht="13.8" hidden="false" customHeight="false" outlineLevel="0" collapsed="false">
      <c r="A535" s="1" t="s">
        <v>2301</v>
      </c>
      <c r="B535" s="1" t="s">
        <v>2302</v>
      </c>
      <c r="D535" s="1" t="s">
        <v>225</v>
      </c>
      <c r="E535" s="1" t="s">
        <v>521</v>
      </c>
      <c r="F535" s="1" t="s">
        <v>35</v>
      </c>
      <c r="G535" s="1" t="s">
        <v>81</v>
      </c>
      <c r="Q535" s="2" t="s">
        <v>2300</v>
      </c>
      <c r="S535" s="2" t="s">
        <v>998</v>
      </c>
      <c r="T535" s="2" t="s">
        <v>998</v>
      </c>
      <c r="V535" s="1" t="s">
        <v>443</v>
      </c>
      <c r="X535" s="1" t="s">
        <v>2139</v>
      </c>
      <c r="Y535" s="1" t="s">
        <v>1252</v>
      </c>
    </row>
    <row r="536" customFormat="false" ht="13.8" hidden="false" customHeight="false" outlineLevel="0" collapsed="false">
      <c r="A536" s="1" t="s">
        <v>2303</v>
      </c>
      <c r="B536" s="1" t="s">
        <v>2304</v>
      </c>
      <c r="D536" s="1" t="s">
        <v>63</v>
      </c>
      <c r="E536" s="1" t="s">
        <v>101</v>
      </c>
      <c r="F536" s="1" t="s">
        <v>35</v>
      </c>
      <c r="G536" s="1" t="s">
        <v>66</v>
      </c>
      <c r="H536" s="1" t="s">
        <v>64</v>
      </c>
      <c r="Q536" s="2" t="s">
        <v>799</v>
      </c>
      <c r="S536" s="2" t="s">
        <v>1335</v>
      </c>
      <c r="T536" s="2" t="s">
        <v>1335</v>
      </c>
      <c r="V536" s="1" t="s">
        <v>2305</v>
      </c>
      <c r="X536" s="1" t="s">
        <v>2139</v>
      </c>
      <c r="Y536" s="1" t="s">
        <v>1252</v>
      </c>
    </row>
    <row r="537" customFormat="false" ht="13.8" hidden="false" customHeight="false" outlineLevel="0" collapsed="false">
      <c r="A537" s="1" t="s">
        <v>2306</v>
      </c>
      <c r="B537" s="1" t="s">
        <v>2307</v>
      </c>
      <c r="D537" s="1" t="s">
        <v>225</v>
      </c>
      <c r="E537" s="1" t="s">
        <v>101</v>
      </c>
      <c r="F537" s="1" t="s">
        <v>35</v>
      </c>
      <c r="G537" s="1" t="s">
        <v>81</v>
      </c>
      <c r="H537" s="1" t="s">
        <v>64</v>
      </c>
      <c r="Q537" s="2" t="s">
        <v>2308</v>
      </c>
      <c r="S537" s="2" t="s">
        <v>2309</v>
      </c>
      <c r="T537" s="2" t="s">
        <v>2309</v>
      </c>
      <c r="V537" s="1" t="s">
        <v>443</v>
      </c>
      <c r="X537" s="1" t="s">
        <v>2139</v>
      </c>
      <c r="Y537" s="1" t="s">
        <v>1252</v>
      </c>
    </row>
    <row r="538" customFormat="false" ht="13.8" hidden="false" customHeight="false" outlineLevel="0" collapsed="false">
      <c r="A538" s="1" t="s">
        <v>2310</v>
      </c>
      <c r="B538" s="1" t="s">
        <v>2311</v>
      </c>
      <c r="D538" s="1" t="s">
        <v>63</v>
      </c>
      <c r="E538" s="1" t="s">
        <v>101</v>
      </c>
      <c r="F538" s="1" t="s">
        <v>35</v>
      </c>
      <c r="G538" s="1" t="s">
        <v>81</v>
      </c>
      <c r="H538" s="1" t="s">
        <v>64</v>
      </c>
      <c r="Q538" s="2" t="s">
        <v>2308</v>
      </c>
      <c r="S538" s="2" t="s">
        <v>986</v>
      </c>
      <c r="T538" s="2" t="s">
        <v>986</v>
      </c>
      <c r="V538" s="1" t="s">
        <v>2312</v>
      </c>
      <c r="X538" s="1" t="s">
        <v>2139</v>
      </c>
      <c r="Y538" s="1" t="s">
        <v>1252</v>
      </c>
    </row>
    <row r="539" customFormat="false" ht="13.8" hidden="false" customHeight="false" outlineLevel="0" collapsed="false">
      <c r="A539" s="1" t="s">
        <v>2313</v>
      </c>
      <c r="B539" s="1" t="s">
        <v>2314</v>
      </c>
      <c r="D539" s="1" t="s">
        <v>63</v>
      </c>
      <c r="E539" s="1" t="s">
        <v>101</v>
      </c>
      <c r="F539" s="1" t="s">
        <v>35</v>
      </c>
      <c r="G539" s="1" t="s">
        <v>81</v>
      </c>
      <c r="H539" s="1" t="s">
        <v>64</v>
      </c>
      <c r="I539" s="1" t="s">
        <v>65</v>
      </c>
      <c r="Q539" s="2" t="s">
        <v>2055</v>
      </c>
      <c r="S539" s="2" t="s">
        <v>502</v>
      </c>
      <c r="T539" s="2" t="s">
        <v>40</v>
      </c>
      <c r="V539" s="1" t="s">
        <v>648</v>
      </c>
      <c r="X539" s="1" t="s">
        <v>2139</v>
      </c>
      <c r="Y539" s="1" t="s">
        <v>1252</v>
      </c>
    </row>
    <row r="540" customFormat="false" ht="13.8" hidden="false" customHeight="false" outlineLevel="0" collapsed="false">
      <c r="A540" s="1" t="s">
        <v>2315</v>
      </c>
      <c r="B540" s="1" t="s">
        <v>2316</v>
      </c>
      <c r="D540" s="1" t="s">
        <v>225</v>
      </c>
      <c r="E540" s="1" t="s">
        <v>521</v>
      </c>
      <c r="F540" s="1" t="s">
        <v>35</v>
      </c>
      <c r="G540" s="1" t="s">
        <v>66</v>
      </c>
      <c r="Q540" s="2" t="s">
        <v>2317</v>
      </c>
      <c r="S540" s="2" t="s">
        <v>379</v>
      </c>
      <c r="T540" s="2" t="s">
        <v>379</v>
      </c>
      <c r="V540" s="1" t="s">
        <v>2318</v>
      </c>
      <c r="X540" s="1" t="s">
        <v>2139</v>
      </c>
      <c r="Y540" s="1" t="s">
        <v>1252</v>
      </c>
    </row>
    <row r="541" customFormat="false" ht="13.8" hidden="false" customHeight="false" outlineLevel="0" collapsed="false">
      <c r="A541" s="1" t="s">
        <v>2319</v>
      </c>
      <c r="B541" s="1" t="s">
        <v>2320</v>
      </c>
      <c r="D541" s="1" t="s">
        <v>225</v>
      </c>
      <c r="E541" s="1" t="s">
        <v>101</v>
      </c>
      <c r="F541" s="1" t="s">
        <v>35</v>
      </c>
      <c r="G541" s="1" t="s">
        <v>66</v>
      </c>
      <c r="Q541" s="2" t="s">
        <v>2321</v>
      </c>
      <c r="S541" s="2" t="s">
        <v>2322</v>
      </c>
      <c r="T541" s="2" t="s">
        <v>2322</v>
      </c>
      <c r="V541" s="1" t="s">
        <v>48</v>
      </c>
      <c r="X541" s="1" t="s">
        <v>2139</v>
      </c>
      <c r="Y541" s="1" t="s">
        <v>2323</v>
      </c>
    </row>
    <row r="542" customFormat="false" ht="13.8" hidden="false" customHeight="false" outlineLevel="0" collapsed="false">
      <c r="A542" s="1" t="s">
        <v>2324</v>
      </c>
      <c r="B542" s="1" t="s">
        <v>2325</v>
      </c>
      <c r="D542" s="1" t="s">
        <v>225</v>
      </c>
      <c r="E542" s="1" t="s">
        <v>521</v>
      </c>
      <c r="F542" s="1" t="s">
        <v>35</v>
      </c>
      <c r="G542" s="1" t="s">
        <v>66</v>
      </c>
      <c r="Q542" s="2" t="s">
        <v>2326</v>
      </c>
      <c r="S542" s="2" t="s">
        <v>2327</v>
      </c>
      <c r="T542" s="2" t="s">
        <v>2327</v>
      </c>
      <c r="V542" s="1" t="s">
        <v>443</v>
      </c>
      <c r="X542" s="1" t="s">
        <v>2139</v>
      </c>
      <c r="Y542" s="1" t="s">
        <v>1252</v>
      </c>
    </row>
    <row r="543" customFormat="false" ht="13.8" hidden="false" customHeight="false" outlineLevel="0" collapsed="false">
      <c r="A543" s="1" t="s">
        <v>2328</v>
      </c>
      <c r="B543" s="1" t="s">
        <v>2329</v>
      </c>
      <c r="D543" s="1" t="s">
        <v>225</v>
      </c>
      <c r="E543" s="1" t="s">
        <v>35</v>
      </c>
      <c r="F543" s="1" t="s">
        <v>81</v>
      </c>
      <c r="G543" s="1" t="s">
        <v>1948</v>
      </c>
      <c r="H543" s="1" t="s">
        <v>79</v>
      </c>
      <c r="Q543" s="2" t="s">
        <v>2330</v>
      </c>
      <c r="S543" s="2" t="s">
        <v>2331</v>
      </c>
      <c r="T543" s="2" t="s">
        <v>2331</v>
      </c>
      <c r="V543" s="1" t="s">
        <v>48</v>
      </c>
      <c r="X543" s="1" t="s">
        <v>2139</v>
      </c>
      <c r="Y543" s="1" t="s">
        <v>2332</v>
      </c>
    </row>
    <row r="544" customFormat="false" ht="13.8" hidden="false" customHeight="false" outlineLevel="0" collapsed="false">
      <c r="A544" s="1" t="s">
        <v>2333</v>
      </c>
      <c r="B544" s="1" t="s">
        <v>2334</v>
      </c>
      <c r="D544" s="1" t="s">
        <v>225</v>
      </c>
      <c r="E544" s="1" t="s">
        <v>35</v>
      </c>
      <c r="F544" s="1" t="s">
        <v>37</v>
      </c>
      <c r="G544" s="1" t="s">
        <v>1948</v>
      </c>
      <c r="H544" s="1" t="s">
        <v>36</v>
      </c>
      <c r="Q544" s="2" t="s">
        <v>1305</v>
      </c>
      <c r="S544" s="2" t="s">
        <v>2335</v>
      </c>
      <c r="T544" s="2" t="s">
        <v>2335</v>
      </c>
      <c r="V544" s="1" t="s">
        <v>711</v>
      </c>
      <c r="X544" s="1" t="s">
        <v>2139</v>
      </c>
      <c r="Y544" s="1" t="s">
        <v>2336</v>
      </c>
    </row>
  </sheetData>
  <autoFilter ref="A1:AF544"/>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57"/>
  <sheetViews>
    <sheetView showFormulas="false" showGridLines="true" showRowColHeaders="true" showZeros="true" rightToLeft="false" tabSelected="true" showOutlineSymbols="true" defaultGridColor="true" view="normal" topLeftCell="P37" colorId="64" zoomScale="120" zoomScaleNormal="120" zoomScalePageLayoutView="100" workbookViewId="0">
      <selection pane="topLeft" activeCell="AD57" activeCellId="0" sqref="AD57"/>
    </sheetView>
  </sheetViews>
  <sheetFormatPr defaultColWidth="9.15234375" defaultRowHeight="13.8" zeroHeight="false" outlineLevelRow="0" outlineLevelCol="0"/>
  <cols>
    <col collapsed="false" customWidth="true" hidden="false" outlineLevel="0" max="1" min="1" style="0" width="20.02"/>
    <col collapsed="false" customWidth="true" hidden="true" outlineLevel="0" max="5" min="5" style="0" width="3.31"/>
    <col collapsed="false" customWidth="true" hidden="false" outlineLevel="0" max="6" min="6" style="4" width="3.49"/>
    <col collapsed="false" customWidth="false" hidden="false" outlineLevel="0" max="14" min="7" style="5" width="9.14"/>
    <col collapsed="false" customWidth="true" hidden="false" outlineLevel="0" max="40" min="40" style="5" width="13.32"/>
  </cols>
  <sheetData>
    <row r="1" customFormat="false" ht="13.8" hidden="false" customHeight="false" outlineLevel="0" collapsed="false">
      <c r="A1" s="1" t="s">
        <v>0</v>
      </c>
      <c r="B1" s="1" t="s">
        <v>1</v>
      </c>
      <c r="C1" s="1" t="s">
        <v>2</v>
      </c>
      <c r="D1" s="1" t="s">
        <v>3</v>
      </c>
      <c r="E1" s="1"/>
      <c r="F1" s="6"/>
      <c r="G1" s="7" t="s">
        <v>4</v>
      </c>
      <c r="H1" s="7" t="s">
        <v>5</v>
      </c>
      <c r="I1" s="7" t="s">
        <v>6</v>
      </c>
      <c r="J1" s="7" t="s">
        <v>7</v>
      </c>
      <c r="K1" s="7" t="s">
        <v>8</v>
      </c>
      <c r="L1" s="7" t="s">
        <v>9</v>
      </c>
      <c r="M1" s="7" t="s">
        <v>10</v>
      </c>
      <c r="N1" s="7" t="s">
        <v>11</v>
      </c>
      <c r="O1" s="1" t="s">
        <v>12</v>
      </c>
      <c r="P1" s="1" t="s">
        <v>13</v>
      </c>
      <c r="Q1" s="1" t="s">
        <v>14</v>
      </c>
      <c r="R1" s="1" t="s">
        <v>15</v>
      </c>
      <c r="S1" s="1" t="s">
        <v>16</v>
      </c>
      <c r="T1" s="1" t="s">
        <v>17</v>
      </c>
      <c r="U1" s="1" t="s">
        <v>18</v>
      </c>
      <c r="V1" s="1" t="s">
        <v>19</v>
      </c>
      <c r="W1" s="1" t="s">
        <v>20</v>
      </c>
      <c r="X1" s="1" t="s">
        <v>21</v>
      </c>
      <c r="Y1" s="1" t="s">
        <v>2337</v>
      </c>
      <c r="Z1" s="1" t="s">
        <v>2338</v>
      </c>
      <c r="AA1" s="1" t="s">
        <v>2339</v>
      </c>
      <c r="AB1" s="1" t="s">
        <v>2340</v>
      </c>
      <c r="AC1" s="1" t="s">
        <v>22</v>
      </c>
      <c r="AD1" s="1" t="s">
        <v>23</v>
      </c>
      <c r="AE1" s="1" t="s">
        <v>24</v>
      </c>
      <c r="AF1" s="1" t="s">
        <v>25</v>
      </c>
      <c r="AG1" s="1" t="s">
        <v>26</v>
      </c>
      <c r="AH1" s="1" t="s">
        <v>27</v>
      </c>
      <c r="AI1" s="1" t="s">
        <v>28</v>
      </c>
      <c r="AJ1" s="1" t="s">
        <v>29</v>
      </c>
      <c r="AK1" s="1" t="s">
        <v>30</v>
      </c>
      <c r="AL1" s="1" t="s">
        <v>31</v>
      </c>
      <c r="AN1" s="5" t="s">
        <v>2341</v>
      </c>
      <c r="AO1" s="0" t="s">
        <v>2342</v>
      </c>
    </row>
    <row r="2" customFormat="false" ht="13.8" hidden="false" customHeight="false" outlineLevel="0" collapsed="false">
      <c r="A2" s="1" t="s">
        <v>653</v>
      </c>
      <c r="B2" s="1" t="s">
        <v>654</v>
      </c>
      <c r="D2" s="1" t="s">
        <v>386</v>
      </c>
      <c r="E2" s="1" t="n">
        <v>1</v>
      </c>
      <c r="F2" s="6" t="n">
        <v>1</v>
      </c>
      <c r="G2" s="7" t="s">
        <v>655</v>
      </c>
      <c r="H2" s="7" t="s">
        <v>35</v>
      </c>
      <c r="I2" s="7" t="s">
        <v>38</v>
      </c>
      <c r="O2" s="1" t="s">
        <v>656</v>
      </c>
      <c r="P2" s="1" t="s">
        <v>657</v>
      </c>
      <c r="V2" s="2" t="s">
        <v>658</v>
      </c>
      <c r="X2" s="1" t="n">
        <v>15000</v>
      </c>
      <c r="Y2" s="1" t="n">
        <f aca="false">IF(X2&lt;=5000,5,0)</f>
        <v>0</v>
      </c>
      <c r="Z2" s="1" t="n">
        <f aca="false">IF(AND(5000&lt;X2, X2&lt;=10000)=1,10,0)</f>
        <v>0</v>
      </c>
      <c r="AA2" s="1" t="n">
        <f aca="false">IF(AND(10000&lt;X2, X2&lt;=50000)=1,50,0)</f>
        <v>50</v>
      </c>
      <c r="AB2" s="1" t="n">
        <f aca="false">IF(AND(X2&gt;50000,X2&lt;&gt;"null")=1,100,0)</f>
        <v>0</v>
      </c>
      <c r="AD2" s="1" t="s">
        <v>468</v>
      </c>
      <c r="AE2" s="1" t="s">
        <v>97</v>
      </c>
      <c r="AH2" s="1" t="s">
        <v>59</v>
      </c>
      <c r="AI2" s="1" t="s">
        <v>142</v>
      </c>
      <c r="AN2" s="5" t="s">
        <v>128</v>
      </c>
      <c r="AO2" s="0" t="n">
        <f aca="false">COUNTIF($G$2:$N$44,AN2)</f>
        <v>1</v>
      </c>
    </row>
    <row r="3" customFormat="false" ht="13.8" hidden="false" customHeight="false" outlineLevel="0" collapsed="false">
      <c r="A3" s="1" t="s">
        <v>475</v>
      </c>
      <c r="B3" s="1" t="s">
        <v>476</v>
      </c>
      <c r="D3" s="1" t="s">
        <v>225</v>
      </c>
      <c r="E3" s="1" t="n">
        <v>1</v>
      </c>
      <c r="F3" s="6" t="n">
        <f aca="false">SUM(E3:E13)</f>
        <v>11</v>
      </c>
      <c r="G3" s="7" t="s">
        <v>477</v>
      </c>
      <c r="H3" s="7" t="s">
        <v>478</v>
      </c>
      <c r="I3" s="7" t="s">
        <v>38</v>
      </c>
      <c r="J3" s="7" t="s">
        <v>35</v>
      </c>
      <c r="O3" s="1" t="s">
        <v>479</v>
      </c>
      <c r="P3" s="1" t="s">
        <v>480</v>
      </c>
      <c r="S3" s="2" t="s">
        <v>481</v>
      </c>
      <c r="U3" s="2" t="s">
        <v>482</v>
      </c>
      <c r="V3" s="2" t="s">
        <v>482</v>
      </c>
      <c r="X3" s="1" t="s">
        <v>45</v>
      </c>
      <c r="Y3" s="1" t="n">
        <f aca="false">IF(X3&lt;=5000,5,0)</f>
        <v>0</v>
      </c>
      <c r="Z3" s="1" t="n">
        <f aca="false">IF(AND(5000&lt;X3, X3&lt;=10000)=1,10,0)</f>
        <v>0</v>
      </c>
      <c r="AA3" s="1" t="n">
        <f aca="false">IF(AND(10000&lt;X3, X3&lt;=50000)=1,50,0)</f>
        <v>0</v>
      </c>
      <c r="AB3" s="1" t="n">
        <f aca="false">IF(AND(X3&gt;50000,X3&lt;&gt;"null")=1,100,0)</f>
        <v>0</v>
      </c>
      <c r="AD3" s="1" t="s">
        <v>468</v>
      </c>
      <c r="AE3" s="1" t="s">
        <v>483</v>
      </c>
      <c r="AH3" s="1" t="s">
        <v>59</v>
      </c>
      <c r="AI3" s="1" t="s">
        <v>60</v>
      </c>
      <c r="AN3" s="5" t="s">
        <v>655</v>
      </c>
      <c r="AO3" s="0" t="n">
        <f aca="false">COUNTIF($G$2:$N$44,AN3)</f>
        <v>1</v>
      </c>
    </row>
    <row r="4" customFormat="false" ht="13.8" hidden="false" customHeight="false" outlineLevel="0" collapsed="false">
      <c r="A4" s="1" t="s">
        <v>596</v>
      </c>
      <c r="B4" s="1" t="s">
        <v>597</v>
      </c>
      <c r="D4" s="1" t="s">
        <v>225</v>
      </c>
      <c r="E4" s="1" t="n">
        <v>1</v>
      </c>
      <c r="F4" s="6"/>
      <c r="G4" s="7" t="s">
        <v>79</v>
      </c>
      <c r="H4" s="7" t="s">
        <v>35</v>
      </c>
      <c r="I4" s="7" t="s">
        <v>38</v>
      </c>
      <c r="J4" s="7" t="s">
        <v>64</v>
      </c>
      <c r="O4" s="1" t="s">
        <v>598</v>
      </c>
      <c r="S4" s="2" t="s">
        <v>541</v>
      </c>
      <c r="U4" s="2" t="s">
        <v>188</v>
      </c>
      <c r="V4" s="2" t="s">
        <v>188</v>
      </c>
      <c r="X4" s="1" t="s">
        <v>45</v>
      </c>
      <c r="Y4" s="1" t="n">
        <f aca="false">IF(X4&lt;=5000,5,0)</f>
        <v>0</v>
      </c>
      <c r="Z4" s="1" t="n">
        <f aca="false">IF(AND(5000&lt;X4, X4&lt;=10000)=1,10,0)</f>
        <v>0</v>
      </c>
      <c r="AA4" s="1" t="n">
        <f aca="false">IF(AND(10000&lt;X4, X4&lt;=50000)=1,50,0)</f>
        <v>0</v>
      </c>
      <c r="AB4" s="1" t="n">
        <f aca="false">IF(AND(X4&gt;50000,X4&lt;&gt;"null")=1,100,0)</f>
        <v>0</v>
      </c>
      <c r="AC4" s="1" t="s">
        <v>599</v>
      </c>
      <c r="AD4" s="1" t="s">
        <v>468</v>
      </c>
      <c r="AE4" s="1" t="s">
        <v>45</v>
      </c>
      <c r="AH4" s="1" t="s">
        <v>600</v>
      </c>
      <c r="AI4" s="1" t="s">
        <v>142</v>
      </c>
      <c r="AN4" s="5" t="s">
        <v>75</v>
      </c>
      <c r="AO4" s="0" t="n">
        <f aca="false">COUNTIF($G$2:$N$44,AN4)</f>
        <v>1</v>
      </c>
    </row>
    <row r="5" customFormat="false" ht="13.8" hidden="false" customHeight="false" outlineLevel="0" collapsed="false">
      <c r="A5" s="1" t="s">
        <v>601</v>
      </c>
      <c r="B5" s="1" t="s">
        <v>602</v>
      </c>
      <c r="D5" s="1" t="s">
        <v>225</v>
      </c>
      <c r="E5" s="1" t="n">
        <v>1</v>
      </c>
      <c r="F5" s="6"/>
      <c r="G5" s="7" t="s">
        <v>79</v>
      </c>
      <c r="H5" s="7" t="s">
        <v>35</v>
      </c>
      <c r="I5" s="7" t="s">
        <v>38</v>
      </c>
      <c r="J5" s="7" t="s">
        <v>64</v>
      </c>
      <c r="S5" s="2" t="s">
        <v>603</v>
      </c>
      <c r="U5" s="2" t="s">
        <v>604</v>
      </c>
      <c r="V5" s="2" t="s">
        <v>604</v>
      </c>
      <c r="X5" s="1" t="n">
        <v>4500</v>
      </c>
      <c r="Y5" s="1" t="n">
        <f aca="false">IF(X5&lt;=5000,5,0)</f>
        <v>5</v>
      </c>
      <c r="Z5" s="1" t="n">
        <f aca="false">IF(AND(5000&lt;X5, X5&lt;=10000)=1,10,0)</f>
        <v>0</v>
      </c>
      <c r="AA5" s="1" t="n">
        <f aca="false">IF(AND(10000&lt;X5, X5&lt;=50000)=1,50,0)</f>
        <v>0</v>
      </c>
      <c r="AB5" s="1" t="n">
        <f aca="false">IF(AND(X5&gt;50000,X5&lt;&gt;"null")=1,100,0)</f>
        <v>0</v>
      </c>
      <c r="AC5" s="1" t="s">
        <v>605</v>
      </c>
      <c r="AD5" s="1" t="s">
        <v>468</v>
      </c>
      <c r="AE5" s="1" t="s">
        <v>45</v>
      </c>
      <c r="AH5" s="1" t="s">
        <v>600</v>
      </c>
      <c r="AI5" s="1" t="s">
        <v>142</v>
      </c>
      <c r="AN5" s="5" t="s">
        <v>212</v>
      </c>
      <c r="AO5" s="0" t="n">
        <f aca="false">COUNTIF($G$2:$N$44,AN5)</f>
        <v>1</v>
      </c>
    </row>
    <row r="6" customFormat="false" ht="13.8" hidden="false" customHeight="false" outlineLevel="0" collapsed="false">
      <c r="A6" s="1" t="s">
        <v>606</v>
      </c>
      <c r="B6" s="1" t="s">
        <v>607</v>
      </c>
      <c r="D6" s="1" t="s">
        <v>225</v>
      </c>
      <c r="E6" s="1" t="n">
        <v>1</v>
      </c>
      <c r="F6" s="6"/>
      <c r="G6" s="7" t="s">
        <v>79</v>
      </c>
      <c r="H6" s="7" t="s">
        <v>35</v>
      </c>
      <c r="I6" s="7" t="s">
        <v>38</v>
      </c>
      <c r="O6" s="1" t="s">
        <v>608</v>
      </c>
      <c r="S6" s="2" t="s">
        <v>603</v>
      </c>
      <c r="U6" s="2" t="s">
        <v>609</v>
      </c>
      <c r="V6" s="2" t="s">
        <v>610</v>
      </c>
      <c r="X6" s="1" t="s">
        <v>45</v>
      </c>
      <c r="Y6" s="1" t="n">
        <f aca="false">IF(X6&lt;=5000,5,0)</f>
        <v>0</v>
      </c>
      <c r="Z6" s="1" t="n">
        <f aca="false">IF(AND(5000&lt;X6, X6&lt;=10000)=1,10,0)</f>
        <v>0</v>
      </c>
      <c r="AA6" s="1" t="n">
        <f aca="false">IF(AND(10000&lt;X6, X6&lt;=50000)=1,50,0)</f>
        <v>0</v>
      </c>
      <c r="AB6" s="1" t="n">
        <f aca="false">IF(AND(X6&gt;50000,X6&lt;&gt;"null")=1,100,0)</f>
        <v>0</v>
      </c>
      <c r="AD6" s="1" t="s">
        <v>468</v>
      </c>
      <c r="AE6" s="1" t="s">
        <v>45</v>
      </c>
      <c r="AH6" s="1" t="s">
        <v>600</v>
      </c>
      <c r="AI6" s="1" t="s">
        <v>142</v>
      </c>
      <c r="AN6" s="5" t="s">
        <v>491</v>
      </c>
      <c r="AO6" s="0" t="n">
        <f aca="false">COUNTIF($G$2:$N$44,AN6)</f>
        <v>1</v>
      </c>
    </row>
    <row r="7" customFormat="false" ht="13.8" hidden="false" customHeight="false" outlineLevel="0" collapsed="false">
      <c r="A7" s="1" t="s">
        <v>611</v>
      </c>
      <c r="B7" s="1" t="s">
        <v>607</v>
      </c>
      <c r="D7" s="1" t="s">
        <v>225</v>
      </c>
      <c r="E7" s="1" t="n">
        <v>1</v>
      </c>
      <c r="F7" s="6"/>
      <c r="G7" s="7" t="s">
        <v>612</v>
      </c>
      <c r="H7" s="7" t="s">
        <v>79</v>
      </c>
      <c r="I7" s="7" t="s">
        <v>128</v>
      </c>
      <c r="J7" s="7" t="s">
        <v>35</v>
      </c>
      <c r="O7" s="1" t="s">
        <v>613</v>
      </c>
      <c r="P7" s="1" t="s">
        <v>614</v>
      </c>
      <c r="Q7" s="1" t="s">
        <v>615</v>
      </c>
      <c r="S7" s="2" t="s">
        <v>616</v>
      </c>
      <c r="U7" s="2" t="s">
        <v>617</v>
      </c>
      <c r="V7" s="2" t="s">
        <v>617</v>
      </c>
      <c r="X7" s="1" t="n">
        <v>15900</v>
      </c>
      <c r="Y7" s="1" t="n">
        <f aca="false">IF(X7&lt;=5000,5,0)</f>
        <v>0</v>
      </c>
      <c r="Z7" s="1" t="n">
        <f aca="false">IF(AND(5000&lt;X7, X7&lt;=10000)=1,10,0)</f>
        <v>0</v>
      </c>
      <c r="AA7" s="1" t="n">
        <f aca="false">IF(AND(10000&lt;X7, X7&lt;=50000)=1,50,0)</f>
        <v>50</v>
      </c>
      <c r="AB7" s="1" t="n">
        <f aca="false">IF(AND(X7&gt;50000,X7&lt;&gt;"null")=1,100,0)</f>
        <v>0</v>
      </c>
      <c r="AD7" s="1" t="s">
        <v>468</v>
      </c>
      <c r="AE7" s="1" t="s">
        <v>97</v>
      </c>
      <c r="AH7" s="1" t="s">
        <v>600</v>
      </c>
      <c r="AI7" s="1" t="s">
        <v>142</v>
      </c>
      <c r="AN7" s="5" t="s">
        <v>612</v>
      </c>
      <c r="AO7" s="0" t="n">
        <f aca="false">COUNTIF($G$2:$N$44,AN7)</f>
        <v>1</v>
      </c>
    </row>
    <row r="8" customFormat="false" ht="13.8" hidden="false" customHeight="false" outlineLevel="0" collapsed="false">
      <c r="A8" s="1" t="s">
        <v>667</v>
      </c>
      <c r="B8" s="1" t="s">
        <v>668</v>
      </c>
      <c r="D8" s="1" t="s">
        <v>225</v>
      </c>
      <c r="E8" s="1" t="n">
        <v>1</v>
      </c>
      <c r="F8" s="6"/>
      <c r="G8" s="7" t="s">
        <v>66</v>
      </c>
      <c r="H8" s="7" t="s">
        <v>35</v>
      </c>
      <c r="I8" s="7" t="s">
        <v>38</v>
      </c>
      <c r="J8" s="7" t="s">
        <v>101</v>
      </c>
      <c r="S8" s="1" t="s">
        <v>45</v>
      </c>
      <c r="V8" s="2" t="s">
        <v>669</v>
      </c>
      <c r="X8" s="1" t="n">
        <v>50000</v>
      </c>
      <c r="Y8" s="1" t="n">
        <f aca="false">IF(X8&lt;=5000,5,0)</f>
        <v>0</v>
      </c>
      <c r="Z8" s="1" t="n">
        <f aca="false">IF(AND(5000&lt;X8, X8&lt;=10000)=1,10,0)</f>
        <v>0</v>
      </c>
      <c r="AA8" s="1" t="n">
        <f aca="false">IF(AND(10000&lt;X8, X8&lt;=50000)=1,50,0)</f>
        <v>50</v>
      </c>
      <c r="AB8" s="1" t="n">
        <f aca="false">IF(AND(X8&gt;50000,X8&lt;&gt;"null")=1,100,0)</f>
        <v>0</v>
      </c>
      <c r="AD8" s="1" t="s">
        <v>468</v>
      </c>
      <c r="AE8" s="1" t="s">
        <v>529</v>
      </c>
      <c r="AH8" s="1" t="s">
        <v>45</v>
      </c>
      <c r="AI8" s="1" t="s">
        <v>45</v>
      </c>
      <c r="AN8" s="5" t="s">
        <v>101</v>
      </c>
      <c r="AO8" s="0" t="n">
        <f aca="false">COUNTIF($G$2:$N$44,AN8)</f>
        <v>1</v>
      </c>
    </row>
    <row r="9" customFormat="false" ht="13.8" hidden="false" customHeight="false" outlineLevel="0" collapsed="false">
      <c r="A9" s="1" t="s">
        <v>670</v>
      </c>
      <c r="B9" s="1" t="s">
        <v>671</v>
      </c>
      <c r="D9" s="1" t="s">
        <v>225</v>
      </c>
      <c r="E9" s="1" t="n">
        <v>1</v>
      </c>
      <c r="F9" s="6"/>
      <c r="V9" s="2" t="s">
        <v>672</v>
      </c>
      <c r="X9" s="1" t="n">
        <v>1000</v>
      </c>
      <c r="Y9" s="1" t="n">
        <f aca="false">IF(X9&lt;=5000,5,0)</f>
        <v>5</v>
      </c>
      <c r="Z9" s="1" t="n">
        <f aca="false">IF(AND(5000&lt;X9, X9&lt;=10000)=1,10,0)</f>
        <v>0</v>
      </c>
      <c r="AA9" s="1" t="n">
        <f aca="false">IF(AND(10000&lt;X9, X9&lt;=50000)=1,50,0)</f>
        <v>0</v>
      </c>
      <c r="AB9" s="1" t="n">
        <f aca="false">IF(AND(X9&gt;50000,X9&lt;&gt;"null")=1,100,0)</f>
        <v>0</v>
      </c>
      <c r="AD9" s="1" t="s">
        <v>468</v>
      </c>
      <c r="AE9" s="1" t="s">
        <v>673</v>
      </c>
      <c r="AN9" s="5" t="s">
        <v>488</v>
      </c>
      <c r="AO9" s="0" t="n">
        <f aca="false">COUNTIF($G$2:$N$44,AN9)</f>
        <v>2</v>
      </c>
    </row>
    <row r="10" customFormat="false" ht="13.8" hidden="false" customHeight="false" outlineLevel="0" collapsed="false">
      <c r="A10" s="1" t="s">
        <v>674</v>
      </c>
      <c r="B10" s="1" t="s">
        <v>675</v>
      </c>
      <c r="D10" s="1" t="s">
        <v>225</v>
      </c>
      <c r="E10" s="1" t="n">
        <v>1</v>
      </c>
      <c r="F10" s="6"/>
      <c r="V10" s="2" t="s">
        <v>672</v>
      </c>
      <c r="X10" s="1" t="n">
        <v>1000</v>
      </c>
      <c r="Y10" s="1" t="n">
        <f aca="false">IF(X10&lt;=5000,5,0)</f>
        <v>5</v>
      </c>
      <c r="Z10" s="1" t="n">
        <f aca="false">IF(AND(5000&lt;X10, X10&lt;=10000)=1,10,0)</f>
        <v>0</v>
      </c>
      <c r="AA10" s="1" t="n">
        <f aca="false">IF(AND(10000&lt;X10, X10&lt;=50000)=1,50,0)</f>
        <v>0</v>
      </c>
      <c r="AB10" s="1" t="n">
        <f aca="false">IF(AND(X10&gt;50000,X10&lt;&gt;"null")=1,100,0)</f>
        <v>0</v>
      </c>
      <c r="AD10" s="1" t="s">
        <v>468</v>
      </c>
      <c r="AE10" s="1" t="s">
        <v>673</v>
      </c>
      <c r="AN10" s="5" t="s">
        <v>521</v>
      </c>
      <c r="AO10" s="0" t="n">
        <f aca="false">COUNTIF($G$2:$N$44,AN10)</f>
        <v>2</v>
      </c>
    </row>
    <row r="11" customFormat="false" ht="13.8" hidden="false" customHeight="false" outlineLevel="0" collapsed="false">
      <c r="A11" s="1" t="s">
        <v>679</v>
      </c>
      <c r="B11" s="1" t="s">
        <v>680</v>
      </c>
      <c r="D11" s="1" t="s">
        <v>225</v>
      </c>
      <c r="E11" s="1" t="n">
        <v>1</v>
      </c>
      <c r="F11" s="6"/>
      <c r="S11" s="1" t="s">
        <v>45</v>
      </c>
      <c r="V11" s="2" t="s">
        <v>681</v>
      </c>
      <c r="X11" s="1" t="n">
        <v>1500</v>
      </c>
      <c r="Y11" s="1" t="n">
        <f aca="false">IF(X11&lt;=5000,5,0)</f>
        <v>5</v>
      </c>
      <c r="Z11" s="1" t="n">
        <f aca="false">IF(AND(5000&lt;X11, X11&lt;=10000)=1,10,0)</f>
        <v>0</v>
      </c>
      <c r="AA11" s="1" t="n">
        <f aca="false">IF(AND(10000&lt;X11, X11&lt;=50000)=1,50,0)</f>
        <v>0</v>
      </c>
      <c r="AB11" s="1" t="n">
        <f aca="false">IF(AND(X11&gt;50000,X11&lt;&gt;"null")=1,100,0)</f>
        <v>0</v>
      </c>
      <c r="AD11" s="1" t="s">
        <v>468</v>
      </c>
      <c r="AE11" s="1" t="s">
        <v>683</v>
      </c>
      <c r="AH11" s="1" t="s">
        <v>59</v>
      </c>
      <c r="AI11" s="1" t="s">
        <v>338</v>
      </c>
      <c r="AM11" s="0" t="n">
        <v>1</v>
      </c>
      <c r="AN11" s="5" t="s">
        <v>477</v>
      </c>
      <c r="AO11" s="0" t="n">
        <f aca="false">COUNTIF($G$2:$N$44,AN11)</f>
        <v>2</v>
      </c>
    </row>
    <row r="12" customFormat="false" ht="13.8" hidden="false" customHeight="false" outlineLevel="0" collapsed="false">
      <c r="A12" s="1" t="s">
        <v>684</v>
      </c>
      <c r="B12" s="1" t="s">
        <v>685</v>
      </c>
      <c r="D12" s="1" t="s">
        <v>225</v>
      </c>
      <c r="E12" s="1" t="n">
        <v>1</v>
      </c>
      <c r="F12" s="6"/>
      <c r="S12" s="1" t="s">
        <v>45</v>
      </c>
      <c r="V12" s="2" t="s">
        <v>681</v>
      </c>
      <c r="X12" s="1" t="n">
        <v>1500</v>
      </c>
      <c r="Y12" s="1" t="n">
        <f aca="false">IF(X12&lt;=5000,5,0)</f>
        <v>5</v>
      </c>
      <c r="Z12" s="1" t="n">
        <f aca="false">IF(AND(5000&lt;X12, X12&lt;=10000)=1,10,0)</f>
        <v>0</v>
      </c>
      <c r="AA12" s="1" t="n">
        <f aca="false">IF(AND(10000&lt;X12, X12&lt;=50000)=1,50,0)</f>
        <v>0</v>
      </c>
      <c r="AB12" s="1" t="n">
        <f aca="false">IF(AND(X12&gt;50000,X12&lt;&gt;"null")=1,100,0)</f>
        <v>0</v>
      </c>
      <c r="AD12" s="1" t="s">
        <v>468</v>
      </c>
      <c r="AE12" s="1" t="s">
        <v>683</v>
      </c>
      <c r="AH12" s="1" t="s">
        <v>59</v>
      </c>
      <c r="AI12" s="1" t="s">
        <v>338</v>
      </c>
      <c r="AM12" s="0" t="n">
        <v>1</v>
      </c>
      <c r="AN12" s="5" t="s">
        <v>66</v>
      </c>
      <c r="AO12" s="0" t="n">
        <f aca="false">COUNTIF($G$2:$N$44,AN12)</f>
        <v>2</v>
      </c>
    </row>
    <row r="13" customFormat="false" ht="13.8" hidden="false" customHeight="false" outlineLevel="0" collapsed="false">
      <c r="A13" s="1" t="s">
        <v>686</v>
      </c>
      <c r="B13" s="1" t="s">
        <v>687</v>
      </c>
      <c r="D13" s="1" t="s">
        <v>225</v>
      </c>
      <c r="E13" s="1" t="n">
        <v>1</v>
      </c>
      <c r="F13" s="6"/>
      <c r="S13" s="1" t="s">
        <v>45</v>
      </c>
      <c r="V13" s="2" t="s">
        <v>681</v>
      </c>
      <c r="X13" s="1" t="n">
        <v>1500</v>
      </c>
      <c r="Y13" s="1" t="n">
        <f aca="false">IF(X13&lt;=5000,5,0)</f>
        <v>5</v>
      </c>
      <c r="Z13" s="1" t="n">
        <f aca="false">IF(AND(5000&lt;X13, X13&lt;=10000)=1,10,0)</f>
        <v>0</v>
      </c>
      <c r="AA13" s="1" t="n">
        <f aca="false">IF(AND(10000&lt;X13, X13&lt;=50000)=1,50,0)</f>
        <v>0</v>
      </c>
      <c r="AB13" s="1" t="n">
        <f aca="false">IF(AND(X13&gt;50000,X13&lt;&gt;"null")=1,100,0)</f>
        <v>0</v>
      </c>
      <c r="AD13" s="1" t="s">
        <v>468</v>
      </c>
      <c r="AE13" s="1" t="s">
        <v>683</v>
      </c>
      <c r="AH13" s="1" t="s">
        <v>59</v>
      </c>
      <c r="AI13" s="1" t="s">
        <v>338</v>
      </c>
      <c r="AN13" s="5" t="s">
        <v>64</v>
      </c>
      <c r="AO13" s="0" t="n">
        <f aca="false">COUNTIF($G$2:$N$44,AN13)</f>
        <v>2</v>
      </c>
    </row>
    <row r="14" customFormat="false" ht="13.8" hidden="false" customHeight="false" outlineLevel="0" collapsed="false">
      <c r="A14" s="1" t="s">
        <v>484</v>
      </c>
      <c r="B14" s="1" t="s">
        <v>485</v>
      </c>
      <c r="C14" s="1" t="s">
        <v>486</v>
      </c>
      <c r="D14" s="1" t="s">
        <v>487</v>
      </c>
      <c r="E14" s="1" t="n">
        <v>1</v>
      </c>
      <c r="F14" s="6" t="n">
        <v>2</v>
      </c>
      <c r="G14" s="7" t="s">
        <v>488</v>
      </c>
      <c r="H14" s="7" t="s">
        <v>38</v>
      </c>
      <c r="I14" s="7" t="s">
        <v>489</v>
      </c>
      <c r="J14" s="7" t="s">
        <v>490</v>
      </c>
      <c r="K14" s="7" t="s">
        <v>491</v>
      </c>
      <c r="S14" s="2" t="s">
        <v>492</v>
      </c>
      <c r="U14" s="2" t="s">
        <v>493</v>
      </c>
      <c r="V14" s="2" t="s">
        <v>494</v>
      </c>
      <c r="X14" s="1" t="n">
        <v>10000</v>
      </c>
      <c r="Y14" s="1" t="n">
        <f aca="false">IF(X14&lt;=5000,5,0)</f>
        <v>0</v>
      </c>
      <c r="Z14" s="1" t="n">
        <f aca="false">IF(AND(5000&lt;X14, X14&lt;=10000)=1,10,0)</f>
        <v>10</v>
      </c>
      <c r="AA14" s="1" t="n">
        <f aca="false">IF(AND(10000&lt;X14, X14&lt;=50000)=1,50,0)</f>
        <v>0</v>
      </c>
      <c r="AB14" s="1" t="n">
        <f aca="false">IF(AND(X14&gt;50000,X14&lt;&gt;"null")=1,100,0)</f>
        <v>0</v>
      </c>
      <c r="AD14" s="1" t="s">
        <v>468</v>
      </c>
      <c r="AE14" s="1" t="s">
        <v>495</v>
      </c>
      <c r="AH14" s="1" t="s">
        <v>59</v>
      </c>
      <c r="AI14" s="1" t="s">
        <v>60</v>
      </c>
      <c r="AJ14" s="1" t="s">
        <v>496</v>
      </c>
      <c r="AK14" s="1" t="s">
        <v>497</v>
      </c>
      <c r="AN14" s="5" t="s">
        <v>80</v>
      </c>
      <c r="AO14" s="0" t="n">
        <f aca="false">COUNTIF($G$2:$N$44,AN14)</f>
        <v>3</v>
      </c>
    </row>
    <row r="15" customFormat="false" ht="13.8" hidden="false" customHeight="false" outlineLevel="0" collapsed="false">
      <c r="A15" s="1" t="s">
        <v>637</v>
      </c>
      <c r="B15" s="1" t="s">
        <v>638</v>
      </c>
      <c r="D15" s="1" t="s">
        <v>487</v>
      </c>
      <c r="E15" s="1" t="n">
        <v>1</v>
      </c>
      <c r="F15" s="6"/>
      <c r="G15" s="7" t="s">
        <v>488</v>
      </c>
      <c r="V15" s="2" t="s">
        <v>639</v>
      </c>
      <c r="X15" s="1" t="n">
        <v>5000</v>
      </c>
      <c r="Y15" s="1" t="n">
        <f aca="false">IF(X15&lt;=5000,5,0)</f>
        <v>5</v>
      </c>
      <c r="Z15" s="1" t="n">
        <f aca="false">IF(AND(5000&lt;X15, X15&lt;=10000)=1,10,0)</f>
        <v>0</v>
      </c>
      <c r="AA15" s="1" t="n">
        <f aca="false">IF(AND(10000&lt;X15, X15&lt;=50000)=1,50,0)</f>
        <v>0</v>
      </c>
      <c r="AB15" s="1" t="n">
        <f aca="false">IF(AND(X15&gt;50000,X15&lt;&gt;"null")=1,100,0)</f>
        <v>0</v>
      </c>
      <c r="AD15" s="1" t="s">
        <v>468</v>
      </c>
      <c r="AE15" s="1" t="s">
        <v>640</v>
      </c>
      <c r="AH15" s="1" t="s">
        <v>59</v>
      </c>
      <c r="AI15" s="1" t="s">
        <v>142</v>
      </c>
      <c r="AN15" s="5" t="s">
        <v>37</v>
      </c>
      <c r="AO15" s="0" t="n">
        <f aca="false">COUNTIF($G$2:$N$44,AN15)</f>
        <v>4</v>
      </c>
    </row>
    <row r="16" customFormat="false" ht="13.8" hidden="false" customHeight="false" outlineLevel="0" collapsed="false">
      <c r="A16" s="1" t="s">
        <v>619</v>
      </c>
      <c r="B16" s="1" t="s">
        <v>620</v>
      </c>
      <c r="D16" s="1" t="s">
        <v>621</v>
      </c>
      <c r="E16" s="1" t="n">
        <v>1</v>
      </c>
      <c r="F16" s="6" t="n">
        <v>1</v>
      </c>
      <c r="O16" s="1" t="s">
        <v>622</v>
      </c>
      <c r="V16" s="2" t="s">
        <v>623</v>
      </c>
      <c r="X16" s="1" t="n">
        <v>4500</v>
      </c>
      <c r="Y16" s="1" t="n">
        <f aca="false">IF(X16&lt;=5000,5,0)</f>
        <v>5</v>
      </c>
      <c r="Z16" s="1" t="n">
        <f aca="false">IF(AND(5000&lt;X16, X16&lt;=10000)=1,10,0)</f>
        <v>0</v>
      </c>
      <c r="AA16" s="1" t="n">
        <f aca="false">IF(AND(10000&lt;X16, X16&lt;=50000)=1,50,0)</f>
        <v>0</v>
      </c>
      <c r="AB16" s="1" t="n">
        <f aca="false">IF(AND(X16&gt;50000,X16&lt;&gt;"null")=1,100,0)</f>
        <v>0</v>
      </c>
      <c r="AD16" s="1" t="s">
        <v>468</v>
      </c>
      <c r="AE16" s="1" t="s">
        <v>45</v>
      </c>
      <c r="AH16" s="1" t="s">
        <v>59</v>
      </c>
      <c r="AI16" s="1" t="s">
        <v>222</v>
      </c>
      <c r="AN16" s="5" t="s">
        <v>81</v>
      </c>
      <c r="AO16" s="0" t="n">
        <f aca="false">COUNTIF($G$2:$N$44,AN16)</f>
        <v>6</v>
      </c>
    </row>
    <row r="17" customFormat="false" ht="13.8" hidden="false" customHeight="false" outlineLevel="0" collapsed="false">
      <c r="A17" s="1" t="s">
        <v>578</v>
      </c>
      <c r="B17" s="1" t="s">
        <v>579</v>
      </c>
      <c r="D17" s="1" t="s">
        <v>63</v>
      </c>
      <c r="E17" s="1" t="n">
        <v>1</v>
      </c>
      <c r="F17" s="6" t="n">
        <v>1</v>
      </c>
      <c r="S17" s="2" t="s">
        <v>580</v>
      </c>
      <c r="V17" s="2" t="s">
        <v>581</v>
      </c>
      <c r="X17" s="1" t="n">
        <v>125000</v>
      </c>
      <c r="Y17" s="1" t="n">
        <f aca="false">IF(X17&lt;=5000,5,0)</f>
        <v>0</v>
      </c>
      <c r="Z17" s="1" t="n">
        <f aca="false">IF(AND(5000&lt;X17, X17&lt;=10000)=1,10,0)</f>
        <v>0</v>
      </c>
      <c r="AA17" s="1" t="n">
        <f aca="false">IF(AND(10000&lt;X17, X17&lt;=50000)=1,50,0)</f>
        <v>0</v>
      </c>
      <c r="AB17" s="1" t="n">
        <f aca="false">IF(AND(X17&gt;50000,X17&lt;&gt;"null")=1,100,0)</f>
        <v>100</v>
      </c>
      <c r="AD17" s="1" t="s">
        <v>468</v>
      </c>
      <c r="AE17" s="1" t="s">
        <v>583</v>
      </c>
      <c r="AL17" s="1" t="s">
        <v>584</v>
      </c>
      <c r="AN17" s="5" t="s">
        <v>36</v>
      </c>
      <c r="AO17" s="0" t="n">
        <f aca="false">COUNTIF($G$2:$N$44,AN17)</f>
        <v>6</v>
      </c>
    </row>
    <row r="18" customFormat="false" ht="13.8" hidden="false" customHeight="false" outlineLevel="0" collapsed="false">
      <c r="A18" s="1" t="s">
        <v>498</v>
      </c>
      <c r="B18" s="1" t="s">
        <v>499</v>
      </c>
      <c r="D18" s="1" t="s">
        <v>78</v>
      </c>
      <c r="E18" s="1" t="n">
        <v>1</v>
      </c>
      <c r="F18" s="6" t="n">
        <f aca="false">SUM(E18:E29)</f>
        <v>12</v>
      </c>
      <c r="G18" s="7" t="s">
        <v>35</v>
      </c>
      <c r="H18" s="7" t="s">
        <v>79</v>
      </c>
      <c r="I18" s="7" t="s">
        <v>477</v>
      </c>
      <c r="J18" s="7" t="s">
        <v>81</v>
      </c>
      <c r="K18" s="7" t="s">
        <v>38</v>
      </c>
      <c r="O18" s="1" t="s">
        <v>500</v>
      </c>
      <c r="P18" s="1" t="s">
        <v>501</v>
      </c>
      <c r="S18" s="2" t="s">
        <v>502</v>
      </c>
      <c r="V18" s="2" t="s">
        <v>503</v>
      </c>
      <c r="X18" s="1" t="s">
        <v>45</v>
      </c>
      <c r="Y18" s="1" t="n">
        <f aca="false">IF(X18&lt;=5000,5,0)</f>
        <v>0</v>
      </c>
      <c r="Z18" s="1" t="n">
        <f aca="false">IF(AND(5000&lt;X18, X18&lt;=10000)=1,10,0)</f>
        <v>0</v>
      </c>
      <c r="AA18" s="1" t="n">
        <f aca="false">IF(AND(10000&lt;X18, X18&lt;=50000)=1,50,0)</f>
        <v>0</v>
      </c>
      <c r="AB18" s="1" t="n">
        <f aca="false">IF(AND(X18&gt;50000,X18&lt;&gt;"null")=1,100,0)</f>
        <v>0</v>
      </c>
      <c r="AD18" s="1" t="s">
        <v>468</v>
      </c>
      <c r="AE18" s="1" t="s">
        <v>504</v>
      </c>
      <c r="AH18" s="1" t="s">
        <v>505</v>
      </c>
      <c r="AI18" s="1" t="s">
        <v>60</v>
      </c>
      <c r="AN18" s="5" t="s">
        <v>93</v>
      </c>
      <c r="AO18" s="0" t="n">
        <f aca="false">COUNTIF($G$2:$N$44,AN18)</f>
        <v>8</v>
      </c>
    </row>
    <row r="19" customFormat="false" ht="13.8" hidden="false" customHeight="false" outlineLevel="0" collapsed="false">
      <c r="A19" s="1" t="s">
        <v>506</v>
      </c>
      <c r="B19" s="1" t="s">
        <v>507</v>
      </c>
      <c r="D19" s="1" t="s">
        <v>78</v>
      </c>
      <c r="E19" s="1" t="n">
        <v>1</v>
      </c>
      <c r="F19" s="6"/>
      <c r="G19" s="7" t="s">
        <v>79</v>
      </c>
      <c r="H19" s="7" t="s">
        <v>35</v>
      </c>
      <c r="I19" s="7" t="s">
        <v>38</v>
      </c>
      <c r="O19" s="1" t="s">
        <v>508</v>
      </c>
      <c r="P19" s="1" t="s">
        <v>509</v>
      </c>
      <c r="Q19" s="1" t="s">
        <v>510</v>
      </c>
      <c r="S19" s="2" t="s">
        <v>511</v>
      </c>
      <c r="U19" s="2" t="s">
        <v>512</v>
      </c>
      <c r="V19" s="2" t="s">
        <v>512</v>
      </c>
      <c r="X19" s="1" t="s">
        <v>45</v>
      </c>
      <c r="Y19" s="1" t="n">
        <f aca="false">IF(X19&lt;=5000,5,0)</f>
        <v>0</v>
      </c>
      <c r="Z19" s="1" t="n">
        <f aca="false">IF(AND(5000&lt;X19, X19&lt;=10000)=1,10,0)</f>
        <v>0</v>
      </c>
      <c r="AA19" s="1" t="n">
        <f aca="false">IF(AND(10000&lt;X19, X19&lt;=50000)=1,50,0)</f>
        <v>0</v>
      </c>
      <c r="AB19" s="1" t="n">
        <f aca="false">IF(AND(X19&gt;50000,X19&lt;&gt;"null")=1,100,0)</f>
        <v>0</v>
      </c>
      <c r="AD19" s="1" t="s">
        <v>468</v>
      </c>
      <c r="AE19" s="1" t="s">
        <v>45</v>
      </c>
      <c r="AH19" s="1" t="s">
        <v>513</v>
      </c>
      <c r="AI19" s="1" t="s">
        <v>60</v>
      </c>
      <c r="AN19" s="5" t="s">
        <v>79</v>
      </c>
      <c r="AO19" s="0" t="n">
        <f aca="false">COUNTIF($G$2:$N$44,AN19)</f>
        <v>16</v>
      </c>
    </row>
    <row r="20" customFormat="false" ht="13.8" hidden="false" customHeight="false" outlineLevel="0" collapsed="false">
      <c r="A20" s="1" t="s">
        <v>514</v>
      </c>
      <c r="B20" s="1" t="s">
        <v>515</v>
      </c>
      <c r="C20" s="1" t="s">
        <v>45</v>
      </c>
      <c r="D20" s="1" t="s">
        <v>78</v>
      </c>
      <c r="E20" s="1" t="n">
        <v>1</v>
      </c>
      <c r="F20" s="6"/>
      <c r="G20" s="7" t="s">
        <v>79</v>
      </c>
      <c r="H20" s="7" t="s">
        <v>35</v>
      </c>
      <c r="I20" s="7" t="s">
        <v>38</v>
      </c>
      <c r="S20" s="2" t="s">
        <v>516</v>
      </c>
      <c r="U20" s="2" t="s">
        <v>517</v>
      </c>
      <c r="V20" s="2" t="s">
        <v>518</v>
      </c>
      <c r="X20" s="1" t="s">
        <v>45</v>
      </c>
      <c r="Y20" s="1" t="n">
        <f aca="false">IF(X20&lt;=5000,5,0)</f>
        <v>0</v>
      </c>
      <c r="Z20" s="1" t="n">
        <f aca="false">IF(AND(5000&lt;X20, X20&lt;=10000)=1,10,0)</f>
        <v>0</v>
      </c>
      <c r="AA20" s="1" t="n">
        <f aca="false">IF(AND(10000&lt;X20, X20&lt;=50000)=1,50,0)</f>
        <v>0</v>
      </c>
      <c r="AB20" s="1" t="n">
        <f aca="false">IF(AND(X20&gt;50000,X20&lt;&gt;"null")=1,100,0)</f>
        <v>0</v>
      </c>
      <c r="AD20" s="1" t="s">
        <v>468</v>
      </c>
      <c r="AE20" s="1" t="s">
        <v>97</v>
      </c>
      <c r="AH20" s="1" t="s">
        <v>513</v>
      </c>
      <c r="AI20" s="1" t="s">
        <v>60</v>
      </c>
      <c r="AN20" s="5" t="s">
        <v>38</v>
      </c>
      <c r="AO20" s="0" t="n">
        <f aca="false">COUNTIF($G$2:$N$44,AN20)</f>
        <v>21</v>
      </c>
    </row>
    <row r="21" customFormat="false" ht="13.8" hidden="false" customHeight="false" outlineLevel="0" collapsed="false">
      <c r="A21" s="1" t="s">
        <v>519</v>
      </c>
      <c r="B21" s="1" t="s">
        <v>520</v>
      </c>
      <c r="C21" s="1" t="s">
        <v>45</v>
      </c>
      <c r="D21" s="1" t="s">
        <v>78</v>
      </c>
      <c r="E21" s="1" t="n">
        <v>1</v>
      </c>
      <c r="F21" s="6"/>
      <c r="G21" s="7" t="s">
        <v>79</v>
      </c>
      <c r="H21" s="7" t="s">
        <v>521</v>
      </c>
      <c r="I21" s="7" t="s">
        <v>522</v>
      </c>
      <c r="J21" s="7" t="s">
        <v>523</v>
      </c>
      <c r="K21" s="7" t="s">
        <v>35</v>
      </c>
      <c r="L21" s="7" t="s">
        <v>524</v>
      </c>
      <c r="M21" s="7" t="s">
        <v>525</v>
      </c>
      <c r="S21" s="2" t="s">
        <v>511</v>
      </c>
      <c r="U21" s="2" t="s">
        <v>526</v>
      </c>
      <c r="V21" s="2" t="s">
        <v>527</v>
      </c>
      <c r="X21" s="1" t="n">
        <v>45000</v>
      </c>
      <c r="Y21" s="1" t="n">
        <f aca="false">IF(X21&lt;=5000,5,0)</f>
        <v>0</v>
      </c>
      <c r="Z21" s="1" t="n">
        <f aca="false">IF(AND(5000&lt;X21, X21&lt;=10000)=1,10,0)</f>
        <v>0</v>
      </c>
      <c r="AA21" s="1" t="n">
        <f aca="false">IF(AND(10000&lt;X21, X21&lt;=50000)=1,50,0)</f>
        <v>50</v>
      </c>
      <c r="AB21" s="1" t="n">
        <f aca="false">IF(AND(X21&gt;50000,X21&lt;&gt;"null")=1,100,0)</f>
        <v>0</v>
      </c>
      <c r="AD21" s="1" t="s">
        <v>468</v>
      </c>
      <c r="AE21" s="1" t="s">
        <v>529</v>
      </c>
      <c r="AH21" s="1" t="s">
        <v>45</v>
      </c>
      <c r="AI21" s="1" t="s">
        <v>45</v>
      </c>
      <c r="AN21" s="5" t="s">
        <v>35</v>
      </c>
      <c r="AO21" s="0" t="n">
        <f aca="false">COUNTIF($G$2:$N$44,AN21)</f>
        <v>23</v>
      </c>
    </row>
    <row r="22" customFormat="false" ht="13.8" hidden="false" customHeight="false" outlineLevel="0" collapsed="false">
      <c r="A22" s="1" t="s">
        <v>530</v>
      </c>
      <c r="B22" s="1" t="s">
        <v>531</v>
      </c>
      <c r="D22" s="1" t="s">
        <v>78</v>
      </c>
      <c r="E22" s="1" t="n">
        <v>1</v>
      </c>
      <c r="F22" s="6"/>
      <c r="G22" s="7" t="s">
        <v>79</v>
      </c>
      <c r="H22" s="7" t="s">
        <v>35</v>
      </c>
      <c r="I22" s="7" t="s">
        <v>81</v>
      </c>
      <c r="J22" s="7" t="s">
        <v>38</v>
      </c>
      <c r="O22" s="1" t="s">
        <v>532</v>
      </c>
      <c r="S22" s="2" t="s">
        <v>130</v>
      </c>
      <c r="U22" s="2" t="s">
        <v>533</v>
      </c>
      <c r="V22" s="2" t="s">
        <v>534</v>
      </c>
      <c r="X22" s="1" t="n">
        <v>8000</v>
      </c>
      <c r="Y22" s="1" t="n">
        <f aca="false">IF(X22&lt;=5000,5,0)</f>
        <v>0</v>
      </c>
      <c r="Z22" s="1" t="n">
        <f aca="false">IF(AND(5000&lt;X22, X22&lt;=10000)=1,10,0)</f>
        <v>10</v>
      </c>
      <c r="AA22" s="1" t="n">
        <f aca="false">IF(AND(10000&lt;X22, X22&lt;=50000)=1,50,0)</f>
        <v>0</v>
      </c>
      <c r="AB22" s="1" t="n">
        <f aca="false">IF(AND(X22&gt;50000,X22&lt;&gt;"null")=1,100,0)</f>
        <v>0</v>
      </c>
      <c r="AD22" s="1" t="s">
        <v>468</v>
      </c>
      <c r="AH22" s="1" t="s">
        <v>536</v>
      </c>
      <c r="AI22" s="1" t="s">
        <v>60</v>
      </c>
      <c r="AN22" s="5" t="s">
        <v>790</v>
      </c>
      <c r="AO22" s="0" t="n">
        <f aca="false">COUNTIF($G$2:$N$44,AN22)</f>
        <v>0</v>
      </c>
    </row>
    <row r="23" customFormat="false" ht="13.8" hidden="false" customHeight="false" outlineLevel="0" collapsed="false">
      <c r="A23" s="1" t="s">
        <v>537</v>
      </c>
      <c r="B23" s="1" t="s">
        <v>538</v>
      </c>
      <c r="D23" s="1" t="s">
        <v>78</v>
      </c>
      <c r="E23" s="1" t="n">
        <v>1</v>
      </c>
      <c r="F23" s="6"/>
      <c r="G23" s="7" t="s">
        <v>35</v>
      </c>
      <c r="H23" s="7" t="s">
        <v>79</v>
      </c>
      <c r="I23" s="7" t="s">
        <v>81</v>
      </c>
      <c r="J23" s="7" t="s">
        <v>38</v>
      </c>
      <c r="O23" s="1" t="s">
        <v>539</v>
      </c>
      <c r="P23" s="1" t="s">
        <v>540</v>
      </c>
      <c r="S23" s="2" t="s">
        <v>541</v>
      </c>
      <c r="U23" s="2" t="s">
        <v>541</v>
      </c>
      <c r="V23" s="2" t="s">
        <v>542</v>
      </c>
      <c r="X23" s="1" t="n">
        <v>80000</v>
      </c>
      <c r="Y23" s="1" t="n">
        <f aca="false">IF(X23&lt;=5000,5,0)</f>
        <v>0</v>
      </c>
      <c r="Z23" s="1" t="n">
        <f aca="false">IF(AND(5000&lt;X23, X23&lt;=10000)=1,10,0)</f>
        <v>0</v>
      </c>
      <c r="AA23" s="1" t="n">
        <f aca="false">IF(AND(10000&lt;X23, X23&lt;=50000)=1,50,0)</f>
        <v>0</v>
      </c>
      <c r="AB23" s="1" t="n">
        <f aca="false">IF(AND(X23&gt;50000,X23&lt;&gt;"null")=1,100,0)</f>
        <v>100</v>
      </c>
      <c r="AD23" s="1" t="s">
        <v>468</v>
      </c>
      <c r="AE23" s="1" t="s">
        <v>45</v>
      </c>
      <c r="AH23" s="1" t="s">
        <v>544</v>
      </c>
      <c r="AI23" s="1" t="s">
        <v>142</v>
      </c>
      <c r="AN23" s="5" t="s">
        <v>2343</v>
      </c>
      <c r="AO23" s="0" t="n">
        <f aca="false">COUNTIF($G$2:$N$44,AN23)</f>
        <v>0</v>
      </c>
    </row>
    <row r="24" customFormat="false" ht="13.8" hidden="false" customHeight="false" outlineLevel="0" collapsed="false">
      <c r="A24" s="1" t="s">
        <v>545</v>
      </c>
      <c r="B24" s="1" t="s">
        <v>546</v>
      </c>
      <c r="D24" s="1" t="s">
        <v>78</v>
      </c>
      <c r="E24" s="1" t="n">
        <v>1</v>
      </c>
      <c r="F24" s="6"/>
      <c r="G24" s="7" t="s">
        <v>35</v>
      </c>
      <c r="H24" s="7" t="s">
        <v>79</v>
      </c>
      <c r="I24" s="7" t="s">
        <v>80</v>
      </c>
      <c r="J24" s="7" t="s">
        <v>38</v>
      </c>
      <c r="K24" s="7" t="s">
        <v>212</v>
      </c>
      <c r="S24" s="2" t="s">
        <v>547</v>
      </c>
      <c r="U24" s="2" t="s">
        <v>442</v>
      </c>
      <c r="V24" s="2" t="s">
        <v>442</v>
      </c>
      <c r="X24" s="1" t="n">
        <v>50000</v>
      </c>
      <c r="Y24" s="1" t="n">
        <f aca="false">IF(X24&lt;=5000,5,0)</f>
        <v>0</v>
      </c>
      <c r="Z24" s="1" t="n">
        <f aca="false">IF(AND(5000&lt;X24, X24&lt;=10000)=1,10,0)</f>
        <v>0</v>
      </c>
      <c r="AA24" s="1" t="n">
        <f aca="false">IF(AND(10000&lt;X24, X24&lt;=50000)=1,50,0)</f>
        <v>50</v>
      </c>
      <c r="AB24" s="1" t="n">
        <f aca="false">IF(AND(X24&gt;50000,X24&lt;&gt;"null")=1,100,0)</f>
        <v>0</v>
      </c>
      <c r="AD24" s="1" t="s">
        <v>468</v>
      </c>
      <c r="AE24" s="1" t="s">
        <v>45</v>
      </c>
      <c r="AH24" s="1" t="s">
        <v>548</v>
      </c>
      <c r="AI24" s="1" t="s">
        <v>142</v>
      </c>
      <c r="AN24" s="5" t="s">
        <v>181</v>
      </c>
      <c r="AO24" s="0" t="n">
        <f aca="false">COUNTIF($G$2:$N$44,AN24)</f>
        <v>0</v>
      </c>
    </row>
    <row r="25" customFormat="false" ht="13.8" hidden="false" customHeight="false" outlineLevel="0" collapsed="false">
      <c r="A25" s="1" t="s">
        <v>549</v>
      </c>
      <c r="B25" s="1" t="s">
        <v>550</v>
      </c>
      <c r="D25" s="1" t="s">
        <v>78</v>
      </c>
      <c r="E25" s="1" t="n">
        <v>1</v>
      </c>
      <c r="F25" s="6"/>
      <c r="G25" s="7" t="s">
        <v>35</v>
      </c>
      <c r="H25" s="7" t="s">
        <v>79</v>
      </c>
      <c r="I25" s="7" t="s">
        <v>551</v>
      </c>
      <c r="J25" s="7" t="s">
        <v>38</v>
      </c>
      <c r="O25" s="1" t="s">
        <v>552</v>
      </c>
      <c r="P25" s="1" t="s">
        <v>553</v>
      </c>
      <c r="Q25" s="1" t="s">
        <v>554</v>
      </c>
      <c r="S25" s="2" t="s">
        <v>555</v>
      </c>
      <c r="U25" s="2" t="s">
        <v>556</v>
      </c>
      <c r="V25" s="2" t="s">
        <v>556</v>
      </c>
      <c r="X25" s="1" t="n">
        <v>150000</v>
      </c>
      <c r="Y25" s="1" t="n">
        <f aca="false">IF(X25&lt;=5000,5,0)</f>
        <v>0</v>
      </c>
      <c r="Z25" s="1" t="n">
        <f aca="false">IF(AND(5000&lt;X25, X25&lt;=10000)=1,10,0)</f>
        <v>0</v>
      </c>
      <c r="AA25" s="1" t="n">
        <f aca="false">IF(AND(10000&lt;X25, X25&lt;=50000)=1,50,0)</f>
        <v>0</v>
      </c>
      <c r="AB25" s="1" t="n">
        <f aca="false">IF(AND(X25&gt;50000,X25&lt;&gt;"null")=1,100,0)</f>
        <v>100</v>
      </c>
      <c r="AD25" s="1" t="s">
        <v>468</v>
      </c>
      <c r="AE25" s="1" t="s">
        <v>558</v>
      </c>
      <c r="AH25" s="1" t="s">
        <v>548</v>
      </c>
      <c r="AI25" s="1" t="s">
        <v>142</v>
      </c>
      <c r="AN25" s="5" t="s">
        <v>65</v>
      </c>
      <c r="AO25" s="0" t="n">
        <f aca="false">COUNTIF($G$2:$N$44,AN25)</f>
        <v>0</v>
      </c>
    </row>
    <row r="26" customFormat="false" ht="13.8" hidden="false" customHeight="false" outlineLevel="0" collapsed="false">
      <c r="A26" s="1" t="s">
        <v>559</v>
      </c>
      <c r="B26" s="1" t="s">
        <v>560</v>
      </c>
      <c r="D26" s="1" t="s">
        <v>78</v>
      </c>
      <c r="E26" s="1" t="n">
        <v>1</v>
      </c>
      <c r="F26" s="6"/>
      <c r="G26" s="7" t="s">
        <v>35</v>
      </c>
      <c r="H26" s="7" t="s">
        <v>36</v>
      </c>
      <c r="I26" s="7" t="s">
        <v>79</v>
      </c>
      <c r="J26" s="7" t="s">
        <v>80</v>
      </c>
      <c r="K26" s="7" t="s">
        <v>38</v>
      </c>
      <c r="O26" s="1" t="s">
        <v>561</v>
      </c>
      <c r="S26" s="2" t="s">
        <v>562</v>
      </c>
      <c r="U26" s="2" t="s">
        <v>442</v>
      </c>
      <c r="V26" s="2" t="s">
        <v>416</v>
      </c>
      <c r="X26" s="1" t="n">
        <v>6000</v>
      </c>
      <c r="Y26" s="1" t="n">
        <f aca="false">IF(X26&lt;=5000,5,0)</f>
        <v>0</v>
      </c>
      <c r="Z26" s="1" t="n">
        <f aca="false">IF(AND(5000&lt;X26, X26&lt;=10000)=1,10,0)</f>
        <v>10</v>
      </c>
      <c r="AA26" s="1" t="n">
        <f aca="false">IF(AND(10000&lt;X26, X26&lt;=50000)=1,50,0)</f>
        <v>0</v>
      </c>
      <c r="AB26" s="1" t="n">
        <f aca="false">IF(AND(X26&gt;50000,X26&lt;&gt;"null")=1,100,0)</f>
        <v>0</v>
      </c>
      <c r="AD26" s="1" t="s">
        <v>468</v>
      </c>
      <c r="AE26" s="1" t="s">
        <v>564</v>
      </c>
      <c r="AH26" s="1" t="s">
        <v>45</v>
      </c>
      <c r="AI26" s="1" t="s">
        <v>45</v>
      </c>
      <c r="AN26" s="5" t="s">
        <v>74</v>
      </c>
      <c r="AO26" s="0" t="n">
        <f aca="false">COUNTIF($G$2:$N$44,AN26)</f>
        <v>0</v>
      </c>
    </row>
    <row r="27" customFormat="false" ht="13.8" hidden="false" customHeight="false" outlineLevel="0" collapsed="false">
      <c r="A27" s="1" t="s">
        <v>565</v>
      </c>
      <c r="B27" s="1" t="s">
        <v>566</v>
      </c>
      <c r="D27" s="1" t="s">
        <v>78</v>
      </c>
      <c r="E27" s="1" t="n">
        <v>1</v>
      </c>
      <c r="F27" s="6"/>
      <c r="G27" s="7" t="s">
        <v>35</v>
      </c>
      <c r="H27" s="7" t="s">
        <v>567</v>
      </c>
      <c r="I27" s="7" t="s">
        <v>79</v>
      </c>
      <c r="J27" s="7" t="s">
        <v>38</v>
      </c>
      <c r="S27" s="2" t="s">
        <v>568</v>
      </c>
      <c r="U27" s="2" t="s">
        <v>569</v>
      </c>
      <c r="V27" s="2" t="s">
        <v>502</v>
      </c>
      <c r="X27" s="1" t="n">
        <v>2300</v>
      </c>
      <c r="Y27" s="1" t="n">
        <f aca="false">IF(X27&lt;=5000,5,0)</f>
        <v>5</v>
      </c>
      <c r="Z27" s="1" t="n">
        <f aca="false">IF(AND(5000&lt;X27, X27&lt;=10000)=1,10,0)</f>
        <v>0</v>
      </c>
      <c r="AA27" s="1" t="n">
        <f aca="false">IF(AND(10000&lt;X27, X27&lt;=50000)=1,50,0)</f>
        <v>0</v>
      </c>
      <c r="AB27" s="1" t="n">
        <f aca="false">IF(AND(X27&gt;50000,X27&lt;&gt;"null")=1,100,0)</f>
        <v>0</v>
      </c>
      <c r="AD27" s="1" t="s">
        <v>468</v>
      </c>
      <c r="AE27" s="1" t="s">
        <v>571</v>
      </c>
      <c r="AH27" s="1" t="s">
        <v>45</v>
      </c>
      <c r="AI27" s="1" t="s">
        <v>45</v>
      </c>
      <c r="AN27" s="5" t="s">
        <v>113</v>
      </c>
      <c r="AO27" s="0" t="n">
        <f aca="false">COUNTIF($G$2:$N$44,AN27)</f>
        <v>0</v>
      </c>
    </row>
    <row r="28" customFormat="false" ht="13.8" hidden="false" customHeight="false" outlineLevel="0" collapsed="false">
      <c r="A28" s="1" t="s">
        <v>572</v>
      </c>
      <c r="B28" s="1" t="s">
        <v>573</v>
      </c>
      <c r="D28" s="1" t="s">
        <v>78</v>
      </c>
      <c r="E28" s="1" t="n">
        <v>1</v>
      </c>
      <c r="F28" s="6"/>
      <c r="G28" s="7" t="s">
        <v>35</v>
      </c>
      <c r="H28" s="7" t="s">
        <v>80</v>
      </c>
      <c r="I28" s="7" t="s">
        <v>79</v>
      </c>
      <c r="J28" s="7" t="s">
        <v>38</v>
      </c>
      <c r="K28" s="7" t="s">
        <v>521</v>
      </c>
      <c r="O28" s="1" t="s">
        <v>574</v>
      </c>
      <c r="S28" s="2" t="s">
        <v>575</v>
      </c>
      <c r="U28" s="2" t="s">
        <v>576</v>
      </c>
      <c r="V28" s="2" t="s">
        <v>576</v>
      </c>
      <c r="X28" s="1" t="n">
        <v>10000</v>
      </c>
      <c r="Y28" s="1" t="n">
        <f aca="false">IF(X28&lt;=5000,5,0)</f>
        <v>0</v>
      </c>
      <c r="Z28" s="1" t="n">
        <f aca="false">IF(AND(5000&lt;X28, X28&lt;=10000)=1,10,0)</f>
        <v>10</v>
      </c>
      <c r="AA28" s="1" t="n">
        <f aca="false">IF(AND(10000&lt;X28, X28&lt;=50000)=1,50,0)</f>
        <v>0</v>
      </c>
      <c r="AB28" s="1" t="n">
        <f aca="false">IF(AND(X28&gt;50000,X28&lt;&gt;"null")=1,100,0)</f>
        <v>0</v>
      </c>
      <c r="AD28" s="1" t="s">
        <v>468</v>
      </c>
      <c r="AE28" s="1" t="s">
        <v>577</v>
      </c>
      <c r="AH28" s="1" t="s">
        <v>45</v>
      </c>
      <c r="AI28" s="1" t="s">
        <v>45</v>
      </c>
      <c r="AN28" s="5" t="s">
        <v>92</v>
      </c>
      <c r="AO28" s="0" t="n">
        <f aca="false">COUNTIF($G$2:$N$44,AN28)</f>
        <v>0</v>
      </c>
    </row>
    <row r="29" customFormat="false" ht="13.8" hidden="false" customHeight="false" outlineLevel="0" collapsed="false">
      <c r="A29" s="1" t="s">
        <v>688</v>
      </c>
      <c r="B29" s="1" t="s">
        <v>689</v>
      </c>
      <c r="D29" s="1" t="s">
        <v>78</v>
      </c>
      <c r="E29" s="1" t="n">
        <v>1</v>
      </c>
      <c r="F29" s="6"/>
      <c r="G29" s="7" t="s">
        <v>79</v>
      </c>
      <c r="H29" s="7" t="s">
        <v>35</v>
      </c>
      <c r="I29" s="7" t="s">
        <v>38</v>
      </c>
      <c r="J29" s="7" t="s">
        <v>66</v>
      </c>
      <c r="V29" s="2" t="s">
        <v>690</v>
      </c>
      <c r="X29" s="1" t="n">
        <v>10000</v>
      </c>
      <c r="Y29" s="1" t="n">
        <f aca="false">IF(X29&lt;=5000,5,0)</f>
        <v>0</v>
      </c>
      <c r="Z29" s="1" t="n">
        <f aca="false">IF(AND(5000&lt;X29, X29&lt;=10000)=1,10,0)</f>
        <v>10</v>
      </c>
      <c r="AA29" s="1" t="n">
        <f aca="false">IF(AND(10000&lt;X29, X29&lt;=50000)=1,50,0)</f>
        <v>0</v>
      </c>
      <c r="AB29" s="1" t="n">
        <f aca="false">IF(AND(X29&gt;50000,X29&lt;&gt;"null")=1,100,0)</f>
        <v>0</v>
      </c>
      <c r="AD29" s="1" t="s">
        <v>468</v>
      </c>
      <c r="AE29" s="1" t="s">
        <v>468</v>
      </c>
      <c r="AN29" s="5" t="s">
        <v>378</v>
      </c>
      <c r="AO29" s="0" t="n">
        <f aca="false">COUNTIF($G$2:$N$44,AN29)</f>
        <v>0</v>
      </c>
    </row>
    <row r="30" customFormat="false" ht="13.8" hidden="false" customHeight="false" outlineLevel="0" collapsed="false">
      <c r="A30" s="1" t="s">
        <v>585</v>
      </c>
      <c r="B30" s="1" t="s">
        <v>586</v>
      </c>
      <c r="D30" s="1" t="s">
        <v>34</v>
      </c>
      <c r="E30" s="1" t="n">
        <v>1</v>
      </c>
      <c r="F30" s="6" t="n">
        <v>1</v>
      </c>
      <c r="G30" s="7" t="s">
        <v>36</v>
      </c>
      <c r="H30" s="7" t="s">
        <v>587</v>
      </c>
      <c r="I30" s="7" t="s">
        <v>588</v>
      </c>
      <c r="J30" s="7" t="s">
        <v>589</v>
      </c>
      <c r="K30" s="7" t="s">
        <v>590</v>
      </c>
      <c r="O30" s="1" t="s">
        <v>591</v>
      </c>
      <c r="P30" s="1" t="s">
        <v>592</v>
      </c>
      <c r="S30" s="2" t="s">
        <v>147</v>
      </c>
      <c r="U30" s="2" t="s">
        <v>593</v>
      </c>
      <c r="V30" s="2" t="s">
        <v>593</v>
      </c>
      <c r="X30" s="1" t="n">
        <v>5000</v>
      </c>
      <c r="Y30" s="1" t="n">
        <f aca="false">IF(X30&lt;=5000,5,0)</f>
        <v>5</v>
      </c>
      <c r="Z30" s="1" t="n">
        <f aca="false">IF(AND(5000&lt;X30, X30&lt;=10000)=1,10,0)</f>
        <v>0</v>
      </c>
      <c r="AA30" s="1" t="n">
        <f aca="false">IF(AND(10000&lt;X30, X30&lt;=50000)=1,50,0)</f>
        <v>0</v>
      </c>
      <c r="AB30" s="1" t="n">
        <f aca="false">IF(AND(X30&gt;50000,X30&lt;&gt;"null")=1,100,0)</f>
        <v>0</v>
      </c>
      <c r="AD30" s="1" t="s">
        <v>468</v>
      </c>
      <c r="AE30" s="1" t="s">
        <v>594</v>
      </c>
      <c r="AH30" s="1" t="s">
        <v>595</v>
      </c>
      <c r="AI30" s="1" t="s">
        <v>60</v>
      </c>
      <c r="AN30" s="5" t="s">
        <v>2344</v>
      </c>
      <c r="AO30" s="0" t="n">
        <f aca="false">COUNTIF($G$2:$N$44,AN30)</f>
        <v>0</v>
      </c>
    </row>
    <row r="31" customFormat="false" ht="13.8" hidden="false" customHeight="false" outlineLevel="0" collapsed="false">
      <c r="A31" s="1" t="s">
        <v>460</v>
      </c>
      <c r="B31" s="1" t="s">
        <v>461</v>
      </c>
      <c r="D31" s="1" t="s">
        <v>462</v>
      </c>
      <c r="E31" s="1" t="n">
        <v>1</v>
      </c>
      <c r="F31" s="6" t="n">
        <f aca="false">SUM(E31:E38)</f>
        <v>8</v>
      </c>
      <c r="G31" s="7" t="s">
        <v>93</v>
      </c>
      <c r="H31" s="7" t="s">
        <v>36</v>
      </c>
      <c r="I31" s="7" t="s">
        <v>37</v>
      </c>
      <c r="O31" s="1" t="s">
        <v>463</v>
      </c>
      <c r="P31" s="1" t="s">
        <v>464</v>
      </c>
      <c r="S31" s="2" t="s">
        <v>465</v>
      </c>
      <c r="U31" s="2" t="s">
        <v>466</v>
      </c>
      <c r="V31" s="2" t="s">
        <v>466</v>
      </c>
      <c r="X31" s="1" t="n">
        <v>4500</v>
      </c>
      <c r="Y31" s="1" t="n">
        <f aca="false">IF(X31&lt;=5000,5,0)</f>
        <v>5</v>
      </c>
      <c r="Z31" s="1" t="n">
        <f aca="false">IF(AND(5000&lt;X31, X31&lt;=10000)=1,10,0)</f>
        <v>0</v>
      </c>
      <c r="AA31" s="1" t="n">
        <f aca="false">IF(AND(10000&lt;X31, X31&lt;=50000)=1,50,0)</f>
        <v>0</v>
      </c>
      <c r="AB31" s="1" t="n">
        <f aca="false">IF(AND(X31&gt;50000,X31&lt;&gt;"null")=1,100,0)</f>
        <v>0</v>
      </c>
      <c r="AD31" s="1" t="s">
        <v>468</v>
      </c>
      <c r="AE31" s="1" t="s">
        <v>45</v>
      </c>
      <c r="AH31" s="1" t="s">
        <v>59</v>
      </c>
      <c r="AI31" s="1" t="s">
        <v>60</v>
      </c>
      <c r="AN31" s="5" t="s">
        <v>889</v>
      </c>
      <c r="AO31" s="0" t="n">
        <f aca="false">COUNTIF($G$2:$N$44,AN31)</f>
        <v>0</v>
      </c>
    </row>
    <row r="32" customFormat="false" ht="13.8" hidden="false" customHeight="false" outlineLevel="0" collapsed="false">
      <c r="A32" s="1" t="s">
        <v>469</v>
      </c>
      <c r="B32" s="1" t="s">
        <v>470</v>
      </c>
      <c r="D32" s="1" t="s">
        <v>462</v>
      </c>
      <c r="E32" s="1" t="n">
        <v>1</v>
      </c>
      <c r="F32" s="6"/>
      <c r="G32" s="7" t="s">
        <v>93</v>
      </c>
      <c r="H32" s="7" t="s">
        <v>36</v>
      </c>
      <c r="I32" s="7" t="s">
        <v>37</v>
      </c>
      <c r="O32" s="1" t="s">
        <v>463</v>
      </c>
      <c r="P32" s="1" t="s">
        <v>464</v>
      </c>
      <c r="S32" s="2" t="s">
        <v>465</v>
      </c>
      <c r="U32" s="2" t="s">
        <v>466</v>
      </c>
      <c r="V32" s="2" t="s">
        <v>466</v>
      </c>
      <c r="X32" s="1" t="n">
        <v>30000</v>
      </c>
      <c r="Y32" s="1" t="n">
        <f aca="false">IF(X32&lt;=5000,5,0)</f>
        <v>0</v>
      </c>
      <c r="Z32" s="1" t="n">
        <f aca="false">IF(AND(5000&lt;X32, X32&lt;=10000)=1,10,0)</f>
        <v>0</v>
      </c>
      <c r="AA32" s="1" t="n">
        <f aca="false">IF(AND(10000&lt;X32, X32&lt;=50000)=1,50,0)</f>
        <v>50</v>
      </c>
      <c r="AB32" s="1" t="n">
        <f aca="false">IF(AND(X32&gt;50000,X32&lt;&gt;"null")=1,100,0)</f>
        <v>0</v>
      </c>
      <c r="AD32" s="1" t="s">
        <v>468</v>
      </c>
      <c r="AE32" s="1" t="s">
        <v>45</v>
      </c>
      <c r="AH32" s="1" t="s">
        <v>59</v>
      </c>
      <c r="AI32" s="1" t="s">
        <v>60</v>
      </c>
      <c r="AN32" s="5" t="s">
        <v>1392</v>
      </c>
      <c r="AO32" s="0" t="n">
        <f aca="false">COUNTIF($G$2:$N$44,AN32)</f>
        <v>0</v>
      </c>
    </row>
    <row r="33" customFormat="false" ht="13.8" hidden="false" customHeight="false" outlineLevel="0" collapsed="false">
      <c r="A33" s="1" t="s">
        <v>471</v>
      </c>
      <c r="B33" s="1" t="s">
        <v>461</v>
      </c>
      <c r="D33" s="1" t="s">
        <v>462</v>
      </c>
      <c r="E33" s="1" t="n">
        <v>1</v>
      </c>
      <c r="F33" s="6"/>
      <c r="G33" s="7" t="s">
        <v>93</v>
      </c>
      <c r="H33" s="7" t="s">
        <v>36</v>
      </c>
      <c r="I33" s="7" t="s">
        <v>37</v>
      </c>
      <c r="O33" s="1" t="s">
        <v>463</v>
      </c>
      <c r="P33" s="1" t="s">
        <v>464</v>
      </c>
      <c r="S33" s="2" t="s">
        <v>465</v>
      </c>
      <c r="U33" s="2" t="s">
        <v>466</v>
      </c>
      <c r="V33" s="2" t="s">
        <v>466</v>
      </c>
      <c r="X33" s="1" t="n">
        <v>8500</v>
      </c>
      <c r="Y33" s="1" t="n">
        <f aca="false">IF(X33&lt;=5000,5,0)</f>
        <v>0</v>
      </c>
      <c r="Z33" s="1" t="n">
        <f aca="false">IF(AND(5000&lt;X33, X33&lt;=10000)=1,10,0)</f>
        <v>10</v>
      </c>
      <c r="AA33" s="1" t="n">
        <f aca="false">IF(AND(10000&lt;X33, X33&lt;=50000)=1,50,0)</f>
        <v>0</v>
      </c>
      <c r="AB33" s="1" t="n">
        <f aca="false">IF(AND(X33&gt;50000,X33&lt;&gt;"null")=1,100,0)</f>
        <v>0</v>
      </c>
      <c r="AD33" s="1" t="s">
        <v>468</v>
      </c>
      <c r="AE33" s="1" t="s">
        <v>45</v>
      </c>
      <c r="AH33" s="1" t="s">
        <v>59</v>
      </c>
      <c r="AI33" s="1" t="s">
        <v>60</v>
      </c>
      <c r="AN33" s="5" t="s">
        <v>716</v>
      </c>
      <c r="AO33" s="0" t="n">
        <f aca="false">COUNTIF($G$2:$N$44,AN33)</f>
        <v>0</v>
      </c>
    </row>
    <row r="34" customFormat="false" ht="13.8" hidden="false" customHeight="false" outlineLevel="0" collapsed="false">
      <c r="A34" s="1" t="s">
        <v>473</v>
      </c>
      <c r="B34" s="1" t="s">
        <v>474</v>
      </c>
      <c r="D34" s="1" t="s">
        <v>462</v>
      </c>
      <c r="E34" s="1" t="n">
        <v>1</v>
      </c>
      <c r="F34" s="6"/>
      <c r="G34" s="7" t="s">
        <v>93</v>
      </c>
      <c r="H34" s="7" t="s">
        <v>36</v>
      </c>
      <c r="I34" s="7" t="s">
        <v>37</v>
      </c>
      <c r="O34" s="1" t="s">
        <v>463</v>
      </c>
      <c r="P34" s="1" t="s">
        <v>464</v>
      </c>
      <c r="S34" s="2" t="s">
        <v>465</v>
      </c>
      <c r="U34" s="2" t="s">
        <v>466</v>
      </c>
      <c r="V34" s="2" t="s">
        <v>466</v>
      </c>
      <c r="X34" s="1" t="n">
        <v>8500</v>
      </c>
      <c r="Y34" s="1" t="n">
        <f aca="false">IF(X34&lt;=5000,5,0)</f>
        <v>0</v>
      </c>
      <c r="Z34" s="1" t="n">
        <f aca="false">IF(AND(5000&lt;X34, X34&lt;=10000)=1,10,0)</f>
        <v>10</v>
      </c>
      <c r="AA34" s="1" t="n">
        <f aca="false">IF(AND(10000&lt;X34, X34&lt;=50000)=1,50,0)</f>
        <v>0</v>
      </c>
      <c r="AB34" s="1" t="n">
        <f aca="false">IF(AND(X34&gt;50000,X34&lt;&gt;"null")=1,100,0)</f>
        <v>0</v>
      </c>
      <c r="AD34" s="1" t="s">
        <v>468</v>
      </c>
      <c r="AE34" s="1" t="s">
        <v>45</v>
      </c>
      <c r="AH34" s="1" t="s">
        <v>59</v>
      </c>
      <c r="AI34" s="1" t="s">
        <v>60</v>
      </c>
      <c r="AN34" s="5" t="s">
        <v>361</v>
      </c>
      <c r="AO34" s="0" t="n">
        <f aca="false">COUNTIF($G$2:$N$44,AN34)</f>
        <v>0</v>
      </c>
    </row>
    <row r="35" customFormat="false" ht="13.8" hidden="false" customHeight="false" outlineLevel="0" collapsed="false">
      <c r="A35" s="1" t="s">
        <v>641</v>
      </c>
      <c r="B35" s="1" t="s">
        <v>642</v>
      </c>
      <c r="D35" s="1" t="s">
        <v>462</v>
      </c>
      <c r="E35" s="1" t="n">
        <v>1</v>
      </c>
      <c r="F35" s="6"/>
      <c r="G35" s="7" t="s">
        <v>93</v>
      </c>
      <c r="H35" s="7" t="s">
        <v>35</v>
      </c>
      <c r="I35" s="7" t="s">
        <v>81</v>
      </c>
      <c r="J35" s="7" t="s">
        <v>38</v>
      </c>
      <c r="O35" s="1" t="s">
        <v>643</v>
      </c>
      <c r="V35" s="2" t="s">
        <v>159</v>
      </c>
      <c r="X35" s="1" t="n">
        <v>21500</v>
      </c>
      <c r="Y35" s="1" t="n">
        <f aca="false">IF(X35&lt;=5000,5,0)</f>
        <v>0</v>
      </c>
      <c r="Z35" s="1" t="n">
        <f aca="false">IF(AND(5000&lt;X35, X35&lt;=10000)=1,10,0)</f>
        <v>0</v>
      </c>
      <c r="AA35" s="1" t="n">
        <f aca="false">IF(AND(10000&lt;X35, X35&lt;=50000)=1,50,0)</f>
        <v>50</v>
      </c>
      <c r="AB35" s="1" t="n">
        <f aca="false">IF(AND(X35&gt;50000,X35&lt;&gt;"null")=1,100,0)</f>
        <v>0</v>
      </c>
      <c r="AD35" s="1" t="s">
        <v>468</v>
      </c>
      <c r="AE35" s="1" t="s">
        <v>645</v>
      </c>
      <c r="AH35" s="1" t="s">
        <v>59</v>
      </c>
      <c r="AI35" s="1" t="s">
        <v>142</v>
      </c>
      <c r="AN35" s="5" t="s">
        <v>701</v>
      </c>
      <c r="AO35" s="0" t="n">
        <f aca="false">COUNTIF($G$2:$N$44,AN35)</f>
        <v>0</v>
      </c>
    </row>
    <row r="36" customFormat="false" ht="13.8" hidden="false" customHeight="false" outlineLevel="0" collapsed="false">
      <c r="A36" s="1" t="s">
        <v>646</v>
      </c>
      <c r="B36" s="1" t="s">
        <v>647</v>
      </c>
      <c r="D36" s="1" t="s">
        <v>462</v>
      </c>
      <c r="E36" s="1" t="n">
        <v>1</v>
      </c>
      <c r="F36" s="6"/>
      <c r="G36" s="7" t="s">
        <v>93</v>
      </c>
      <c r="H36" s="7" t="s">
        <v>35</v>
      </c>
      <c r="I36" s="7" t="s">
        <v>81</v>
      </c>
      <c r="J36" s="7" t="s">
        <v>38</v>
      </c>
      <c r="O36" s="1" t="s">
        <v>643</v>
      </c>
      <c r="V36" s="2" t="s">
        <v>159</v>
      </c>
      <c r="X36" s="1" t="n">
        <v>9000</v>
      </c>
      <c r="Y36" s="1" t="n">
        <f aca="false">IF(X36&lt;=5000,5,0)</f>
        <v>0</v>
      </c>
      <c r="Z36" s="1" t="n">
        <f aca="false">IF(AND(5000&lt;X36, X36&lt;=10000)=1,10,0)</f>
        <v>10</v>
      </c>
      <c r="AA36" s="1" t="n">
        <f aca="false">IF(AND(10000&lt;X36, X36&lt;=50000)=1,50,0)</f>
        <v>0</v>
      </c>
      <c r="AB36" s="1" t="n">
        <f aca="false">IF(AND(X36&gt;50000,X36&lt;&gt;"null")=1,100,0)</f>
        <v>0</v>
      </c>
      <c r="AD36" s="1" t="s">
        <v>468</v>
      </c>
      <c r="AE36" s="1" t="s">
        <v>645</v>
      </c>
      <c r="AH36" s="1" t="s">
        <v>59</v>
      </c>
      <c r="AI36" s="1" t="s">
        <v>142</v>
      </c>
      <c r="AN36" s="5" t="s">
        <v>1278</v>
      </c>
      <c r="AO36" s="0" t="n">
        <f aca="false">COUNTIF($G$2:$N$44,AN36)</f>
        <v>0</v>
      </c>
    </row>
    <row r="37" customFormat="false" ht="13.8" hidden="false" customHeight="false" outlineLevel="0" collapsed="false">
      <c r="A37" s="1" t="s">
        <v>649</v>
      </c>
      <c r="B37" s="1" t="s">
        <v>650</v>
      </c>
      <c r="D37" s="1" t="s">
        <v>462</v>
      </c>
      <c r="E37" s="1" t="n">
        <v>1</v>
      </c>
      <c r="F37" s="6"/>
      <c r="G37" s="7" t="s">
        <v>93</v>
      </c>
      <c r="H37" s="7" t="s">
        <v>35</v>
      </c>
      <c r="I37" s="7" t="s">
        <v>81</v>
      </c>
      <c r="J37" s="7" t="s">
        <v>38</v>
      </c>
      <c r="O37" s="1" t="s">
        <v>643</v>
      </c>
      <c r="V37" s="2" t="s">
        <v>159</v>
      </c>
      <c r="X37" s="1" t="n">
        <v>9000</v>
      </c>
      <c r="Y37" s="1" t="n">
        <f aca="false">IF(X37&lt;=5000,5,0)</f>
        <v>0</v>
      </c>
      <c r="Z37" s="1" t="n">
        <f aca="false">IF(AND(5000&lt;X37, X37&lt;=10000)=1,10,0)</f>
        <v>10</v>
      </c>
      <c r="AA37" s="1" t="n">
        <f aca="false">IF(AND(10000&lt;X37, X37&lt;=50000)=1,50,0)</f>
        <v>0</v>
      </c>
      <c r="AB37" s="1" t="n">
        <f aca="false">IF(AND(X37&gt;50000,X37&lt;&gt;"null")=1,100,0)</f>
        <v>0</v>
      </c>
      <c r="AD37" s="1" t="s">
        <v>468</v>
      </c>
      <c r="AE37" s="1" t="s">
        <v>645</v>
      </c>
      <c r="AH37" s="1" t="s">
        <v>59</v>
      </c>
      <c r="AI37" s="1" t="s">
        <v>142</v>
      </c>
      <c r="AN37" s="5" t="s">
        <v>100</v>
      </c>
      <c r="AO37" s="0" t="n">
        <f aca="false">COUNTIF($G$2:$N$44,AN37)</f>
        <v>0</v>
      </c>
    </row>
    <row r="38" customFormat="false" ht="13.8" hidden="false" customHeight="false" outlineLevel="0" collapsed="false">
      <c r="A38" s="1" t="s">
        <v>651</v>
      </c>
      <c r="B38" s="1" t="s">
        <v>652</v>
      </c>
      <c r="D38" s="1" t="s">
        <v>462</v>
      </c>
      <c r="E38" s="1" t="n">
        <v>1</v>
      </c>
      <c r="F38" s="6"/>
      <c r="G38" s="7" t="s">
        <v>93</v>
      </c>
      <c r="H38" s="7" t="s">
        <v>35</v>
      </c>
      <c r="O38" s="1" t="s">
        <v>643</v>
      </c>
      <c r="V38" s="2" t="s">
        <v>159</v>
      </c>
      <c r="X38" s="1" t="n">
        <v>8500</v>
      </c>
      <c r="Y38" s="1" t="n">
        <f aca="false">IF(X38&lt;=5000,5,0)</f>
        <v>0</v>
      </c>
      <c r="Z38" s="1" t="n">
        <f aca="false">IF(AND(5000&lt;X38, X38&lt;=10000)=1,10,0)</f>
        <v>10</v>
      </c>
      <c r="AA38" s="1" t="n">
        <f aca="false">IF(AND(10000&lt;X38, X38&lt;=50000)=1,50,0)</f>
        <v>0</v>
      </c>
      <c r="AB38" s="1" t="n">
        <f aca="false">IF(AND(X38&gt;50000,X38&lt;&gt;"null")=1,100,0)</f>
        <v>0</v>
      </c>
      <c r="AD38" s="1" t="s">
        <v>468</v>
      </c>
      <c r="AE38" s="1" t="s">
        <v>645</v>
      </c>
      <c r="AH38" s="1" t="s">
        <v>59</v>
      </c>
      <c r="AI38" s="1" t="s">
        <v>142</v>
      </c>
      <c r="AN38" s="5" t="s">
        <v>700</v>
      </c>
      <c r="AO38" s="0" t="n">
        <f aca="false">COUNTIF($G$2:$N$44,AN38)</f>
        <v>0</v>
      </c>
    </row>
    <row r="39" customFormat="false" ht="13.8" hidden="false" customHeight="false" outlineLevel="0" collapsed="false">
      <c r="A39" s="1" t="s">
        <v>456</v>
      </c>
      <c r="B39" s="1" t="s">
        <v>457</v>
      </c>
      <c r="D39" s="1" t="s">
        <v>51</v>
      </c>
      <c r="E39" s="8" t="n">
        <v>1</v>
      </c>
      <c r="F39" s="9" t="n">
        <f aca="false">SUM(E39:E42)</f>
        <v>4</v>
      </c>
      <c r="S39" s="1" t="s">
        <v>45</v>
      </c>
      <c r="V39" s="2" t="s">
        <v>458</v>
      </c>
      <c r="X39" s="1" t="n">
        <v>15000</v>
      </c>
      <c r="Y39" s="1" t="n">
        <f aca="false">IF(X39&lt;=5000,5,0)</f>
        <v>0</v>
      </c>
      <c r="Z39" s="1" t="n">
        <f aca="false">IF(AND(5000&lt;X39, X39&lt;=10000)=1,10,0)</f>
        <v>0</v>
      </c>
      <c r="AA39" s="1" t="n">
        <f aca="false">IF(AND(10000&lt;X39, X39&lt;=50000)=1,50,0)</f>
        <v>50</v>
      </c>
      <c r="AB39" s="1" t="n">
        <f aca="false">IF(AND(X39&gt;50000,X39&lt;&gt;"null")=1,100,0)</f>
        <v>0</v>
      </c>
      <c r="AD39" s="1" t="s">
        <v>459</v>
      </c>
      <c r="AE39" s="1" t="s">
        <v>97</v>
      </c>
      <c r="AH39" s="1" t="s">
        <v>59</v>
      </c>
      <c r="AI39" s="1" t="s">
        <v>338</v>
      </c>
      <c r="AM39" s="0" t="n">
        <v>1</v>
      </c>
      <c r="AN39" s="5" t="s">
        <v>1284</v>
      </c>
      <c r="AO39" s="0" t="n">
        <f aca="false">COUNTIF($G$2:$N$44,AN39)</f>
        <v>0</v>
      </c>
    </row>
    <row r="40" customFormat="false" ht="13.8" hidden="false" customHeight="false" outlineLevel="0" collapsed="false">
      <c r="A40" s="1" t="s">
        <v>624</v>
      </c>
      <c r="B40" s="1" t="s">
        <v>625</v>
      </c>
      <c r="D40" s="1" t="s">
        <v>51</v>
      </c>
      <c r="E40" s="1" t="n">
        <v>1</v>
      </c>
      <c r="F40" s="6"/>
      <c r="V40" s="2" t="s">
        <v>626</v>
      </c>
      <c r="X40" s="1" t="n">
        <v>14000</v>
      </c>
      <c r="Y40" s="1" t="n">
        <f aca="false">IF(X40&lt;=5000,5,0)</f>
        <v>0</v>
      </c>
      <c r="Z40" s="1" t="n">
        <f aca="false">IF(AND(5000&lt;X40, X40&lt;=10000)=1,10,0)</f>
        <v>0</v>
      </c>
      <c r="AA40" s="1" t="n">
        <f aca="false">IF(AND(10000&lt;X40, X40&lt;=50000)=1,50,0)</f>
        <v>50</v>
      </c>
      <c r="AB40" s="1" t="n">
        <f aca="false">IF(AND(X40&gt;50000,X40&lt;&gt;"null")=1,100,0)</f>
        <v>0</v>
      </c>
      <c r="AD40" s="1" t="s">
        <v>468</v>
      </c>
      <c r="AE40" s="1" t="s">
        <v>45</v>
      </c>
      <c r="AH40" s="1" t="s">
        <v>59</v>
      </c>
      <c r="AI40" s="1" t="s">
        <v>142</v>
      </c>
      <c r="AN40" s="5" t="s">
        <v>715</v>
      </c>
      <c r="AO40" s="0" t="n">
        <f aca="false">COUNTIF($G$2:$N$44,AN40)</f>
        <v>0</v>
      </c>
    </row>
    <row r="41" customFormat="false" ht="13.8" hidden="false" customHeight="false" outlineLevel="0" collapsed="false">
      <c r="A41" s="1" t="s">
        <v>628</v>
      </c>
      <c r="B41" s="1" t="s">
        <v>629</v>
      </c>
      <c r="D41" s="1" t="s">
        <v>51</v>
      </c>
      <c r="E41" s="1" t="n">
        <v>1</v>
      </c>
      <c r="F41" s="6"/>
      <c r="G41" s="7" t="s">
        <v>75</v>
      </c>
      <c r="O41" s="1" t="s">
        <v>630</v>
      </c>
      <c r="P41" s="1" t="s">
        <v>631</v>
      </c>
      <c r="Q41" s="1" t="s">
        <v>632</v>
      </c>
      <c r="R41" s="1" t="s">
        <v>633</v>
      </c>
      <c r="S41" s="2" t="s">
        <v>634</v>
      </c>
      <c r="U41" s="2" t="s">
        <v>635</v>
      </c>
      <c r="V41" s="2" t="s">
        <v>636</v>
      </c>
      <c r="X41" s="1" t="n">
        <v>6000</v>
      </c>
      <c r="Y41" s="1" t="n">
        <f aca="false">IF(X41&lt;=5000,5,0)</f>
        <v>0</v>
      </c>
      <c r="Z41" s="1" t="n">
        <f aca="false">IF(AND(5000&lt;X41, X41&lt;=10000)=1,10,0)</f>
        <v>10</v>
      </c>
      <c r="AA41" s="1" t="n">
        <f aca="false">IF(AND(10000&lt;X41, X41&lt;=50000)=1,50,0)</f>
        <v>0</v>
      </c>
      <c r="AB41" s="1" t="n">
        <f aca="false">IF(AND(X41&gt;50000,X41&lt;&gt;"null")=1,100,0)</f>
        <v>0</v>
      </c>
      <c r="AC41" s="1" t="s">
        <v>605</v>
      </c>
      <c r="AD41" s="1" t="s">
        <v>468</v>
      </c>
      <c r="AE41" s="1" t="s">
        <v>97</v>
      </c>
      <c r="AH41" s="1" t="s">
        <v>59</v>
      </c>
      <c r="AI41" s="1" t="s">
        <v>222</v>
      </c>
      <c r="AN41" s="5" t="s">
        <v>1244</v>
      </c>
      <c r="AO41" s="0" t="n">
        <f aca="false">COUNTIF($G$2:$N$44,AN41)</f>
        <v>0</v>
      </c>
    </row>
    <row r="42" customFormat="false" ht="13.8" hidden="false" customHeight="false" outlineLevel="0" collapsed="false">
      <c r="A42" s="1" t="s">
        <v>676</v>
      </c>
      <c r="B42" s="1" t="s">
        <v>677</v>
      </c>
      <c r="D42" s="1" t="s">
        <v>51</v>
      </c>
      <c r="E42" s="1" t="n">
        <v>1</v>
      </c>
      <c r="F42" s="6"/>
      <c r="V42" s="2" t="s">
        <v>405</v>
      </c>
      <c r="X42" s="1" t="n">
        <v>6000</v>
      </c>
      <c r="Y42" s="1" t="n">
        <f aca="false">IF(X42&lt;=5000,5,0)</f>
        <v>0</v>
      </c>
      <c r="Z42" s="1" t="n">
        <f aca="false">IF(AND(5000&lt;X42, X42&lt;=10000)=1,10,0)</f>
        <v>10</v>
      </c>
      <c r="AA42" s="1" t="n">
        <f aca="false">IF(AND(10000&lt;X42, X42&lt;=50000)=1,50,0)</f>
        <v>0</v>
      </c>
      <c r="AB42" s="1" t="n">
        <f aca="false">IF(AND(X42&gt;50000,X42&lt;&gt;"null")=1,100,0)</f>
        <v>0</v>
      </c>
      <c r="AD42" s="1" t="s">
        <v>468</v>
      </c>
      <c r="AE42" s="1" t="s">
        <v>678</v>
      </c>
      <c r="AN42" s="5" t="s">
        <v>696</v>
      </c>
      <c r="AO42" s="0" t="n">
        <f aca="false">COUNTIF($G$2:$N$44,AN42)</f>
        <v>0</v>
      </c>
    </row>
    <row r="43" customFormat="false" ht="13.8" hidden="false" customHeight="false" outlineLevel="0" collapsed="false">
      <c r="A43" s="1" t="s">
        <v>659</v>
      </c>
      <c r="B43" s="1" t="s">
        <v>660</v>
      </c>
      <c r="D43" s="1" t="s">
        <v>661</v>
      </c>
      <c r="E43" s="1" t="n">
        <v>1</v>
      </c>
      <c r="F43" s="6" t="n">
        <v>2</v>
      </c>
      <c r="V43" s="2" t="s">
        <v>662</v>
      </c>
      <c r="X43" s="1" t="n">
        <v>1000</v>
      </c>
      <c r="Y43" s="1" t="n">
        <f aca="false">IF(X43&lt;=5000,5,0)</f>
        <v>5</v>
      </c>
      <c r="Z43" s="1" t="n">
        <f aca="false">IF(AND(5000&lt;X43, X43&lt;=10000)=1,10,0)</f>
        <v>0</v>
      </c>
      <c r="AA43" s="1" t="n">
        <f aca="false">IF(AND(10000&lt;X43, X43&lt;=50000)=1,50,0)</f>
        <v>0</v>
      </c>
      <c r="AB43" s="1" t="n">
        <f aca="false">IF(AND(X43&gt;50000,X43&lt;&gt;"null")=1,100,0)</f>
        <v>0</v>
      </c>
      <c r="AD43" s="1" t="s">
        <v>468</v>
      </c>
      <c r="AE43" s="1" t="s">
        <v>97</v>
      </c>
      <c r="AH43" s="1" t="s">
        <v>663</v>
      </c>
      <c r="AI43" s="1" t="s">
        <v>142</v>
      </c>
      <c r="AN43" s="5" t="s">
        <v>905</v>
      </c>
      <c r="AO43" s="0" t="n">
        <f aca="false">COUNTIF($G$2:$N$44,AN43)</f>
        <v>0</v>
      </c>
    </row>
    <row r="44" customFormat="false" ht="13.8" hidden="false" customHeight="false" outlineLevel="0" collapsed="false">
      <c r="A44" s="1" t="s">
        <v>664</v>
      </c>
      <c r="B44" s="1" t="s">
        <v>665</v>
      </c>
      <c r="D44" s="1" t="s">
        <v>661</v>
      </c>
      <c r="E44" s="1" t="n">
        <v>1</v>
      </c>
      <c r="F44" s="6"/>
      <c r="V44" s="2" t="s">
        <v>666</v>
      </c>
      <c r="X44" s="1" t="n">
        <v>4000</v>
      </c>
      <c r="Y44" s="1" t="n">
        <f aca="false">IF(X44&lt;=5000,5,0)</f>
        <v>5</v>
      </c>
      <c r="Z44" s="1" t="n">
        <f aca="false">IF(AND(5000&lt;X44, X44&lt;=10000)=1,10,0)</f>
        <v>0</v>
      </c>
      <c r="AA44" s="1" t="n">
        <f aca="false">IF(AND(10000&lt;X44, X44&lt;=50000)=1,50,0)</f>
        <v>0</v>
      </c>
      <c r="AB44" s="1" t="n">
        <f aca="false">IF(AND(X44&gt;50000,X44&lt;&gt;"null")=1,100,0)</f>
        <v>0</v>
      </c>
      <c r="AD44" s="1" t="s">
        <v>468</v>
      </c>
      <c r="AE44" s="1" t="s">
        <v>97</v>
      </c>
      <c r="AH44" s="1" t="s">
        <v>59</v>
      </c>
      <c r="AI44" s="1" t="s">
        <v>142</v>
      </c>
      <c r="AN44" s="5" t="s">
        <v>193</v>
      </c>
      <c r="AO44" s="0" t="n">
        <f aca="false">COUNTIF($G$2:$N$44,AN44)</f>
        <v>0</v>
      </c>
    </row>
    <row r="45" customFormat="false" ht="13.8" hidden="false" customHeight="false" outlineLevel="0" collapsed="false">
      <c r="Y45" s="0" t="n">
        <f aca="false">COUNTIF(Y2:Y44,5)</f>
        <v>13</v>
      </c>
      <c r="Z45" s="0" t="n">
        <f aca="false">COUNTIF(Z2:Z44,10)</f>
        <v>12</v>
      </c>
      <c r="AA45" s="0" t="n">
        <f aca="false">COUNTIF(AA2:AA44,50)</f>
        <v>9</v>
      </c>
      <c r="AB45" s="0" t="n">
        <f aca="false">COUNTIF(AB2:AB44,100)</f>
        <v>3</v>
      </c>
      <c r="AN45" s="5" t="s">
        <v>2135</v>
      </c>
      <c r="AO45" s="0" t="n">
        <f aca="false">COUNTIF($G$2:$N$44,AN45)</f>
        <v>0</v>
      </c>
    </row>
    <row r="46" customFormat="false" ht="13.8" hidden="false" customHeight="false" outlineLevel="0" collapsed="false">
      <c r="Y46" s="8" t="s">
        <v>2337</v>
      </c>
      <c r="Z46" s="8" t="s">
        <v>2338</v>
      </c>
      <c r="AA46" s="8" t="s">
        <v>2339</v>
      </c>
      <c r="AB46" s="8" t="s">
        <v>2340</v>
      </c>
      <c r="AE46" s="0" t="s">
        <v>2345</v>
      </c>
      <c r="AN46" s="5" t="s">
        <v>1948</v>
      </c>
      <c r="AO46" s="0" t="n">
        <f aca="false">COUNTIF($G$2:$N$44,AN46)</f>
        <v>0</v>
      </c>
    </row>
    <row r="47" customFormat="false" ht="13.8" hidden="false" customHeight="false" outlineLevel="0" collapsed="false">
      <c r="A47" s="8" t="s">
        <v>3</v>
      </c>
      <c r="B47" s="8" t="s">
        <v>2346</v>
      </c>
      <c r="C47" s="8"/>
      <c r="AE47" s="0" t="s">
        <v>2347</v>
      </c>
    </row>
    <row r="48" customFormat="false" ht="13.8" hidden="false" customHeight="false" outlineLevel="0" collapsed="false">
      <c r="A48" s="1" t="s">
        <v>386</v>
      </c>
      <c r="B48" s="1" t="n">
        <v>1</v>
      </c>
      <c r="C48" s="1"/>
      <c r="AE48" s="8" t="s">
        <v>2348</v>
      </c>
      <c r="AF48" s="0" t="n">
        <v>3</v>
      </c>
    </row>
    <row r="49" customFormat="false" ht="13.8" hidden="false" customHeight="false" outlineLevel="0" collapsed="false">
      <c r="A49" s="1" t="s">
        <v>621</v>
      </c>
      <c r="B49" s="1" t="n">
        <v>1</v>
      </c>
      <c r="C49" s="1"/>
      <c r="AE49" s="8" t="s">
        <v>2349</v>
      </c>
      <c r="AF49" s="0" t="n">
        <v>9</v>
      </c>
    </row>
    <row r="50" customFormat="false" ht="13.8" hidden="false" customHeight="false" outlineLevel="0" collapsed="false">
      <c r="A50" s="1" t="s">
        <v>63</v>
      </c>
      <c r="B50" s="1" t="n">
        <v>1</v>
      </c>
      <c r="C50" s="1"/>
      <c r="AE50" s="8" t="s">
        <v>2350</v>
      </c>
      <c r="AF50" s="0" t="n">
        <v>12</v>
      </c>
    </row>
    <row r="51" customFormat="false" ht="13.8" hidden="false" customHeight="false" outlineLevel="0" collapsed="false">
      <c r="A51" s="1" t="s">
        <v>34</v>
      </c>
      <c r="B51" s="1" t="n">
        <v>1</v>
      </c>
      <c r="C51" s="1"/>
      <c r="AE51" s="8" t="s">
        <v>2351</v>
      </c>
      <c r="AF51" s="0" t="n">
        <v>13</v>
      </c>
    </row>
    <row r="52" customFormat="false" ht="13.8" hidden="false" customHeight="false" outlineLevel="0" collapsed="false">
      <c r="A52" s="1" t="s">
        <v>487</v>
      </c>
      <c r="B52" s="1" t="n">
        <v>2</v>
      </c>
      <c r="C52" s="1"/>
    </row>
    <row r="53" customFormat="false" ht="13.8" hidden="false" customHeight="false" outlineLevel="0" collapsed="false">
      <c r="A53" s="1" t="s">
        <v>661</v>
      </c>
      <c r="B53" s="1" t="n">
        <v>2</v>
      </c>
      <c r="C53" s="1"/>
    </row>
    <row r="54" customFormat="false" ht="13.8" hidden="false" customHeight="false" outlineLevel="0" collapsed="false">
      <c r="A54" s="1" t="s">
        <v>51</v>
      </c>
      <c r="B54" s="1" t="n">
        <v>4</v>
      </c>
      <c r="C54" s="1"/>
    </row>
    <row r="55" customFormat="false" ht="13.8" hidden="false" customHeight="false" outlineLevel="0" collapsed="false">
      <c r="A55" s="1" t="s">
        <v>462</v>
      </c>
      <c r="B55" s="1" t="n">
        <v>8</v>
      </c>
      <c r="C55" s="1"/>
    </row>
    <row r="56" customFormat="false" ht="13.8" hidden="false" customHeight="false" outlineLevel="0" collapsed="false">
      <c r="A56" s="1" t="s">
        <v>225</v>
      </c>
      <c r="B56" s="1" t="n">
        <v>11</v>
      </c>
      <c r="C56" s="1"/>
    </row>
    <row r="57" customFormat="false" ht="13.8" hidden="false" customHeight="false" outlineLevel="0" collapsed="false">
      <c r="A57" s="1" t="s">
        <v>78</v>
      </c>
      <c r="B57" s="1" t="n">
        <v>12</v>
      </c>
      <c r="C57" s="1"/>
    </row>
  </sheetData>
  <autoFilter ref="A1:AM44"/>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2024-03-10T21:13:02Z</dcterms:created>
  <dc:creator/>
  <dc:description/>
  <dc:language>fr-FR</dc:language>
  <cp:lastModifiedBy/>
  <dcterms:modified xsi:type="dcterms:W3CDTF">2024-03-11T15:54:00Z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